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autoCompressPictures="0"/>
  <bookViews>
    <workbookView xWindow="-105" yWindow="-105" windowWidth="19425" windowHeight="10305" tabRatio="869"/>
  </bookViews>
  <sheets>
    <sheet name="Raw Quote" sheetId="7" r:id="rId1"/>
  </sheets>
  <definedNames>
    <definedName name="_xlnm.Print_Area" localSheetId="0">'Raw Quote'!$A$1:$S$77</definedName>
  </definedNames>
  <calcPr calcId="144525"/>
</workbook>
</file>

<file path=xl/calcChain.xml><?xml version="1.0" encoding="utf-8"?>
<calcChain xmlns="http://schemas.openxmlformats.org/spreadsheetml/2006/main">
  <c r="G29" i="7" l="1"/>
  <c r="G25" i="7"/>
  <c r="G21" i="7"/>
  <c r="Q30" i="7" l="1"/>
  <c r="Q29" i="7"/>
  <c r="Q26" i="7"/>
  <c r="Q25" i="7"/>
  <c r="Q22" i="7"/>
  <c r="Q21" i="7"/>
  <c r="R30" i="7" l="1"/>
  <c r="L30" i="7"/>
  <c r="M30" i="7" s="1"/>
  <c r="R29" i="7"/>
  <c r="L29" i="7"/>
  <c r="M29" i="7" s="1"/>
  <c r="R32" i="7" l="1"/>
  <c r="M32" i="7"/>
  <c r="R26" i="7"/>
  <c r="L26" i="7"/>
  <c r="M26" i="7" s="1"/>
  <c r="S29" i="7" l="1"/>
  <c r="R25" i="7"/>
  <c r="R28" i="7" s="1"/>
  <c r="L25" i="7"/>
  <c r="M25" i="7" s="1"/>
  <c r="M28" i="7" s="1"/>
  <c r="S25" i="7" l="1"/>
  <c r="R22" i="7"/>
  <c r="R21" i="7"/>
  <c r="L22" i="7"/>
  <c r="M22" i="7" s="1"/>
  <c r="L21" i="7"/>
  <c r="M21" i="7" s="1"/>
  <c r="R24" i="7" l="1"/>
  <c r="Q37" i="7" s="1"/>
  <c r="M24" i="7"/>
  <c r="L37" i="7" s="1"/>
  <c r="S21" i="7" l="1"/>
  <c r="Q43" i="7"/>
  <c r="Q2" i="7" l="1"/>
  <c r="L43" i="7" l="1"/>
</calcChain>
</file>

<file path=xl/sharedStrings.xml><?xml version="1.0" encoding="utf-8"?>
<sst xmlns="http://schemas.openxmlformats.org/spreadsheetml/2006/main" count="63" uniqueCount="56">
  <si>
    <t>Conditional Discount</t>
  </si>
  <si>
    <t>Total</t>
  </si>
  <si>
    <t>Site Address</t>
  </si>
  <si>
    <t>After  Discount</t>
  </si>
  <si>
    <t xml:space="preserve"> Before Discount</t>
  </si>
  <si>
    <t>Current Retailer</t>
  </si>
  <si>
    <t>Tariff</t>
  </si>
  <si>
    <t>Quote Prepared For:</t>
  </si>
  <si>
    <t>Date</t>
  </si>
  <si>
    <t>Quote Prepared by:</t>
  </si>
  <si>
    <t>Proposed Offer Details with New Energy Retailer:</t>
  </si>
  <si>
    <t>Additonal Notes</t>
  </si>
  <si>
    <t>10  Business days cooling off Period.</t>
  </si>
  <si>
    <t>All calculations are based on the most current rate known for the energy retailer.</t>
  </si>
  <si>
    <t>AU team has endeavoured to be most accurate when preparing the quote.</t>
  </si>
  <si>
    <t>NMI / MIRN</t>
  </si>
  <si>
    <t xml:space="preserve"> SAVINGS QUOTE</t>
  </si>
  <si>
    <t>Annual Usage in Mwh/ Mj</t>
  </si>
  <si>
    <t>Rates are Inclusive of GST</t>
  </si>
  <si>
    <t>Distributor</t>
  </si>
  <si>
    <t>Key Feature</t>
  </si>
  <si>
    <t>Account Manager:</t>
  </si>
  <si>
    <t>Hash Motiwalla</t>
  </si>
  <si>
    <t>Mobile:</t>
  </si>
  <si>
    <t>0421 590 851</t>
  </si>
  <si>
    <t>% Savings</t>
  </si>
  <si>
    <t>No joining or membership fees.</t>
  </si>
  <si>
    <t>No Exit Fees.</t>
  </si>
  <si>
    <t xml:space="preserve">No fixed term Contract. </t>
  </si>
  <si>
    <t>Conditional Discounts applicable when bills are paid in full on /before the due date.</t>
  </si>
  <si>
    <t>Australian Utilities does not compare all energy providers or plans in Australia.</t>
  </si>
  <si>
    <t>Easy switchover &amp; doesn’t require disconnection of power supply.</t>
  </si>
  <si>
    <t>Current Energy Offer</t>
  </si>
  <si>
    <t>New Proposed Offer</t>
  </si>
  <si>
    <t>OC NUMBER</t>
  </si>
  <si>
    <t>These amounts exclude seasonal variations in usage, fees, rebates, credits, concessions, and other charges. This estimate will vary if your usage varies.Your bills may differ depending on your actual usage and any future price changes.</t>
  </si>
  <si>
    <t>Offers and rates mentioned in this quote, are valid for a limited period and are confirmed only upon acceptance.</t>
  </si>
  <si>
    <t>Savings are indicative only and based on the current bill provided for comparison.</t>
  </si>
  <si>
    <t>Terms and Conditions apply of the On-boarding Energy Retailer.</t>
  </si>
  <si>
    <t>Monthly or Quarterly Bills via email.</t>
  </si>
  <si>
    <t>If you have questions regarding your quote, please contact your account Manager on 0421 590 851</t>
  </si>
  <si>
    <t xml:space="preserve">* Estimated annual savings, spend and percentage are calculated based on the usage units, billing period and solar benefits (if applicable) on the bill provided and assumes consistent usage over the year. </t>
  </si>
  <si>
    <t>Limited Time Offer</t>
  </si>
  <si>
    <t xml:space="preserve"> </t>
  </si>
  <si>
    <t>Units</t>
  </si>
  <si>
    <t>Description</t>
  </si>
  <si>
    <t>Total (GST Incl.)</t>
  </si>
  <si>
    <t>Estimated Annual Savings *
(based on current bill comparison)</t>
  </si>
  <si>
    <t>Estimated Annual Costs  
(based on current bill comparison)</t>
  </si>
  <si>
    <t>Peak Usage</t>
  </si>
  <si>
    <t>Daily Supply Charges</t>
  </si>
  <si>
    <t>Anytime Usage</t>
  </si>
  <si>
    <t>Supply Charges</t>
  </si>
  <si>
    <t>General Usage</t>
  </si>
  <si>
    <t>Discount</t>
  </si>
  <si>
    <r>
      <t xml:space="preserve">KEY FEATURES -  NEW OFFER     </t>
    </r>
    <r>
      <rPr>
        <b/>
        <sz val="24"/>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</si>
</sst>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5" formatCode="&quot;$&quot;#,##0.0000"/>
    <numFmt numFmtId="166" formatCode="[$-C09]dd\-mmmm\-yyyy;@"/>
  </numFmts>
  <fonts count="34" x14ac:knownFonts="1">
    <font>
      <sz val="11"/>
      <color theme="1"/>
      <name val="Calibri"/>
      <family val="2"/>
      <scheme val="minor"/>
    </font>
    <font>
      <sz val="11"/>
      <color indexed="8"/>
      <name val="Calibri"/>
      <family val="2"/>
    </font>
    <font>
      <sz val="8"/>
      <name val="Verdana"/>
      <family val="2"/>
    </font>
    <font>
      <b/>
      <sz val="11"/>
      <color rgb="FFFF0000"/>
      <name val="Calibri"/>
      <family val="2"/>
      <scheme val="minor"/>
    </font>
    <font>
      <sz val="11"/>
      <color rgb="FFFF0000"/>
      <name val="Calibri"/>
      <family val="2"/>
      <scheme val="minor"/>
    </font>
    <font>
      <b/>
      <sz val="11"/>
      <color theme="1"/>
      <name val="Calibri"/>
      <family val="2"/>
      <scheme val="minor"/>
    </font>
    <font>
      <sz val="18"/>
      <color theme="1"/>
      <name val="Calibri"/>
      <family val="2"/>
      <scheme val="minor"/>
    </font>
    <font>
      <b/>
      <sz val="13.5"/>
      <color theme="1"/>
      <name val="Calibri"/>
      <family val="2"/>
      <scheme val="minor"/>
    </font>
    <font>
      <b/>
      <sz val="18"/>
      <color rgb="FFFF0000"/>
      <name val="Calibri"/>
      <family val="2"/>
      <scheme val="minor"/>
    </font>
    <font>
      <b/>
      <sz val="16"/>
      <name val="Calibri"/>
      <family val="2"/>
      <scheme val="minor"/>
    </font>
    <font>
      <sz val="11"/>
      <name val="Calibri"/>
      <family val="2"/>
      <scheme val="minor"/>
    </font>
    <font>
      <b/>
      <sz val="11"/>
      <name val="Calibri"/>
      <family val="2"/>
      <scheme val="minor"/>
    </font>
    <font>
      <sz val="18"/>
      <name val="Calibri"/>
      <family val="2"/>
      <scheme val="minor"/>
    </font>
    <font>
      <b/>
      <sz val="18"/>
      <name val="Calibri"/>
      <family val="2"/>
      <scheme val="minor"/>
    </font>
    <font>
      <sz val="24"/>
      <name val="Calibri"/>
      <family val="2"/>
      <scheme val="minor"/>
    </font>
    <font>
      <b/>
      <sz val="24"/>
      <color rgb="FFFF0000"/>
      <name val="Calibri"/>
      <family val="2"/>
      <scheme val="minor"/>
    </font>
    <font>
      <b/>
      <sz val="16"/>
      <color rgb="FFFF0000"/>
      <name val="Calibri"/>
      <family val="2"/>
      <scheme val="minor"/>
    </font>
    <font>
      <b/>
      <sz val="16"/>
      <color rgb="FF0070C0"/>
      <name val="Calibri"/>
      <family val="2"/>
      <scheme val="minor"/>
    </font>
    <font>
      <sz val="14"/>
      <name val="Calibri"/>
      <family val="2"/>
      <scheme val="minor"/>
    </font>
    <font>
      <b/>
      <sz val="14"/>
      <name val="Calibri"/>
      <family val="2"/>
      <scheme val="minor"/>
    </font>
    <font>
      <b/>
      <sz val="14"/>
      <color rgb="FFFF0000"/>
      <name val="Calibri"/>
      <family val="2"/>
      <scheme val="minor"/>
    </font>
    <font>
      <sz val="11"/>
      <color theme="1"/>
      <name val="Calibri Light"/>
      <family val="2"/>
      <scheme val="major"/>
    </font>
    <font>
      <b/>
      <sz val="23"/>
      <color rgb="FF0070C0"/>
      <name val="Calibri"/>
      <family val="2"/>
      <scheme val="minor"/>
    </font>
    <font>
      <sz val="14"/>
      <color theme="1"/>
      <name val="Calibri"/>
      <family val="2"/>
      <scheme val="minor"/>
    </font>
    <font>
      <i/>
      <sz val="14"/>
      <name val="Calibri"/>
      <family val="2"/>
      <scheme val="minor"/>
    </font>
    <font>
      <b/>
      <i/>
      <sz val="14"/>
      <color rgb="FFFF0000"/>
      <name val="Calibri"/>
      <family val="2"/>
      <scheme val="minor"/>
    </font>
    <font>
      <sz val="16"/>
      <name val="Calibri"/>
      <family val="2"/>
      <scheme val="minor"/>
    </font>
    <font>
      <sz val="12"/>
      <color theme="1"/>
      <name val="Calibri"/>
      <family val="2"/>
      <scheme val="minor"/>
    </font>
    <font>
      <sz val="12"/>
      <color theme="1"/>
      <name val="Calibri Light"/>
      <family val="2"/>
      <scheme val="major"/>
    </font>
    <font>
      <b/>
      <sz val="12"/>
      <color rgb="FFFF0000"/>
      <name val="Calibri"/>
      <family val="2"/>
      <scheme val="minor"/>
    </font>
    <font>
      <b/>
      <sz val="14"/>
      <color theme="1"/>
      <name val="Calibri"/>
      <family val="2"/>
      <scheme val="minor"/>
    </font>
    <font>
      <b/>
      <i/>
      <sz val="14"/>
      <color theme="1"/>
      <name val="Calibri"/>
      <family val="2"/>
      <scheme val="minor"/>
    </font>
    <font>
      <sz val="14"/>
      <color theme="1"/>
      <name val="Calibri Light"/>
      <family val="2"/>
      <scheme val="major"/>
    </font>
    <font>
      <b/>
      <sz val="24"/>
      <name val="Calibri"/>
      <family val="2"/>
      <scheme val="minor"/>
    </font>
  </fonts>
  <fills count="5">
    <fill>
      <patternFill patternType="none"/>
    </fill>
    <fill>
      <patternFill patternType="gray125"/>
    </fill>
    <fill>
      <patternFill patternType="solid">
        <fgColor indexed="55"/>
        <bgColor indexed="64"/>
      </patternFill>
    </fill>
    <fill>
      <patternFill patternType="solid">
        <fgColor theme="5" tint="0.39997558519241921"/>
        <bgColor indexed="64"/>
      </patternFill>
    </fill>
    <fill>
      <patternFill patternType="solid">
        <fgColor theme="9" tint="0.59999389629810485"/>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s>
  <cellStyleXfs count="2">
    <xf numFmtId="0" fontId="0" fillId="0" borderId="0"/>
    <xf numFmtId="0" fontId="1" fillId="0" borderId="0"/>
  </cellStyleXfs>
  <cellXfs count="199">
    <xf numFmtId="0" fontId="0" fillId="0" borderId="0" xfId="0"/>
    <xf numFmtId="165" fontId="26" fillId="0" borderId="1" xfId="0" applyNumberFormat="1" applyFont="1" applyBorder="1" applyAlignment="1" applyProtection="1">
      <alignment vertical="center" wrapText="1"/>
    </xf>
    <xf numFmtId="165" fontId="9" fillId="0" borderId="10" xfId="0" applyNumberFormat="1" applyFont="1" applyBorder="1" applyAlignment="1" applyProtection="1">
      <alignment vertical="center" wrapText="1"/>
    </xf>
    <xf numFmtId="165" fontId="26" fillId="0" borderId="21" xfId="0" applyNumberFormat="1" applyFont="1" applyBorder="1" applyAlignment="1" applyProtection="1">
      <alignment vertical="center" wrapText="1"/>
    </xf>
    <xf numFmtId="0" fontId="0" fillId="0" borderId="0" xfId="0" applyAlignment="1" applyProtection="1">
      <alignment horizontal="left" vertical="center" wrapText="1"/>
    </xf>
    <xf numFmtId="0" fontId="0" fillId="0" borderId="0" xfId="0" applyAlignment="1" applyProtection="1">
      <alignment horizontal="center" vertical="center" wrapText="1"/>
    </xf>
    <xf numFmtId="0" fontId="0" fillId="0" borderId="0" xfId="0" applyAlignment="1" applyProtection="1">
      <alignment horizontal="right" vertical="center" wrapText="1"/>
    </xf>
    <xf numFmtId="0" fontId="0" fillId="0" borderId="0" xfId="0" applyAlignment="1" applyProtection="1">
      <alignment vertical="center" wrapText="1"/>
    </xf>
    <xf numFmtId="0" fontId="3" fillId="0" borderId="0" xfId="0" applyFont="1" applyAlignment="1" applyProtection="1">
      <alignment vertical="center" wrapText="1"/>
    </xf>
    <xf numFmtId="9" fontId="0" fillId="0" borderId="0" xfId="0" applyNumberFormat="1" applyProtection="1"/>
    <xf numFmtId="10" fontId="3" fillId="0" borderId="0" xfId="0" applyNumberFormat="1" applyFont="1" applyAlignment="1" applyProtection="1">
      <alignment vertical="center" wrapText="1"/>
    </xf>
    <xf numFmtId="0" fontId="0" fillId="0" borderId="0" xfId="0" applyProtection="1"/>
    <xf numFmtId="164" fontId="7" fillId="0" borderId="0" xfId="0" applyNumberFormat="1" applyFont="1" applyProtection="1"/>
    <xf numFmtId="0" fontId="23" fillId="0" borderId="0" xfId="0" applyFont="1" applyProtection="1"/>
    <xf numFmtId="2" fontId="0" fillId="0" borderId="0" xfId="0" applyNumberFormat="1" applyAlignment="1" applyProtection="1">
      <alignment horizontal="right"/>
    </xf>
    <xf numFmtId="0" fontId="0" fillId="0" borderId="0" xfId="0" applyAlignment="1" applyProtection="1">
      <alignment horizontal="right"/>
    </xf>
    <xf numFmtId="0" fontId="23" fillId="0" borderId="0" xfId="0" applyFont="1" applyAlignment="1" applyProtection="1">
      <alignment horizontal="left" vertical="center"/>
    </xf>
    <xf numFmtId="0" fontId="5" fillId="0" borderId="0" xfId="0" applyFont="1" applyAlignment="1" applyProtection="1">
      <alignment vertical="center" wrapText="1"/>
    </xf>
    <xf numFmtId="0" fontId="3" fillId="0" borderId="0" xfId="0" applyFont="1" applyProtection="1"/>
    <xf numFmtId="10" fontId="0" fillId="0" borderId="0" xfId="0" applyNumberFormat="1" applyAlignment="1" applyProtection="1">
      <alignment vertical="center" wrapText="1"/>
    </xf>
    <xf numFmtId="0" fontId="18" fillId="0" borderId="0" xfId="0" applyFont="1" applyAlignment="1" applyProtection="1">
      <alignment vertical="center" wrapText="1"/>
    </xf>
    <xf numFmtId="0" fontId="25" fillId="0" borderId="10" xfId="0" applyFont="1" applyBorder="1" applyAlignment="1" applyProtection="1">
      <alignment vertical="center" wrapText="1"/>
    </xf>
    <xf numFmtId="10" fontId="25" fillId="0" borderId="13" xfId="0" applyNumberFormat="1" applyFont="1" applyBorder="1" applyAlignment="1" applyProtection="1">
      <alignment vertical="center" wrapText="1"/>
    </xf>
    <xf numFmtId="0" fontId="25" fillId="0" borderId="16" xfId="0" applyFont="1" applyBorder="1" applyAlignment="1" applyProtection="1">
      <alignment vertical="center" wrapText="1"/>
    </xf>
    <xf numFmtId="0" fontId="24" fillId="0" borderId="0" xfId="0" applyFont="1" applyAlignment="1" applyProtection="1">
      <alignment vertical="center" wrapText="1"/>
    </xf>
    <xf numFmtId="164" fontId="26" fillId="0" borderId="1" xfId="0" applyNumberFormat="1" applyFont="1" applyBorder="1" applyAlignment="1" applyProtection="1">
      <alignment vertical="center" wrapText="1"/>
    </xf>
    <xf numFmtId="164" fontId="26" fillId="0" borderId="3" xfId="0" applyNumberFormat="1" applyFont="1" applyBorder="1" applyAlignment="1" applyProtection="1">
      <alignment vertical="center" wrapText="1"/>
    </xf>
    <xf numFmtId="0" fontId="26" fillId="0" borderId="0" xfId="0" applyFont="1" applyAlignment="1" applyProtection="1">
      <alignment vertical="center" wrapText="1"/>
    </xf>
    <xf numFmtId="164" fontId="9" fillId="0" borderId="10" xfId="0" applyNumberFormat="1" applyFont="1" applyBorder="1" applyAlignment="1" applyProtection="1">
      <alignment vertical="center" wrapText="1"/>
    </xf>
    <xf numFmtId="164" fontId="9" fillId="0" borderId="11" xfId="0" applyNumberFormat="1" applyFont="1" applyBorder="1" applyAlignment="1" applyProtection="1">
      <alignment vertical="center" wrapText="1"/>
    </xf>
    <xf numFmtId="0" fontId="9" fillId="0" borderId="0" xfId="0" applyFont="1" applyAlignment="1" applyProtection="1">
      <alignment vertical="center" wrapText="1"/>
    </xf>
    <xf numFmtId="0" fontId="16" fillId="0" borderId="16" xfId="0" applyFont="1" applyBorder="1" applyAlignment="1" applyProtection="1">
      <alignment horizontal="left" vertical="center" wrapText="1"/>
    </xf>
    <xf numFmtId="164" fontId="26" fillId="0" borderId="21" xfId="0" applyNumberFormat="1" applyFont="1" applyBorder="1" applyAlignment="1" applyProtection="1">
      <alignment vertical="center" wrapText="1"/>
    </xf>
    <xf numFmtId="164" fontId="26" fillId="0" borderId="24" xfId="0" applyNumberFormat="1" applyFont="1" applyBorder="1" applyAlignment="1" applyProtection="1">
      <alignment vertical="center" wrapText="1"/>
    </xf>
    <xf numFmtId="0" fontId="10" fillId="0" borderId="0" xfId="0" applyFont="1" applyAlignment="1" applyProtection="1">
      <alignment horizontal="center" vertical="center" wrapText="1"/>
    </xf>
    <xf numFmtId="2" fontId="10" fillId="0" borderId="0" xfId="0" applyNumberFormat="1" applyFont="1" applyAlignment="1" applyProtection="1">
      <alignment horizontal="center" vertical="center" wrapText="1"/>
    </xf>
    <xf numFmtId="0" fontId="11" fillId="0" borderId="0" xfId="0" applyFont="1" applyAlignment="1" applyProtection="1">
      <alignment horizontal="right" vertical="center" wrapText="1"/>
    </xf>
    <xf numFmtId="0" fontId="11" fillId="0" borderId="0" xfId="0" applyFont="1" applyAlignment="1" applyProtection="1">
      <alignment vertical="center" wrapText="1"/>
    </xf>
    <xf numFmtId="165" fontId="11" fillId="0" borderId="0" xfId="0" applyNumberFormat="1" applyFont="1" applyAlignment="1" applyProtection="1">
      <alignment vertical="center" wrapText="1"/>
    </xf>
    <xf numFmtId="164" fontId="11" fillId="0" borderId="0" xfId="0" applyNumberFormat="1" applyFont="1" applyAlignment="1" applyProtection="1">
      <alignment vertical="center" wrapText="1"/>
    </xf>
    <xf numFmtId="0" fontId="3" fillId="0" borderId="0" xfId="0" applyFont="1" applyAlignment="1" applyProtection="1">
      <alignment horizontal="center" vertical="center" wrapText="1"/>
    </xf>
    <xf numFmtId="10" fontId="3" fillId="0" borderId="0" xfId="0" applyNumberFormat="1" applyFont="1" applyAlignment="1" applyProtection="1">
      <alignment horizontal="center" vertical="center" wrapText="1"/>
    </xf>
    <xf numFmtId="165" fontId="13" fillId="0" borderId="0" xfId="0" applyNumberFormat="1" applyFont="1" applyAlignment="1" applyProtection="1">
      <alignment vertical="center" wrapText="1"/>
    </xf>
    <xf numFmtId="0" fontId="13" fillId="0" borderId="0" xfId="0" applyFont="1" applyAlignment="1" applyProtection="1">
      <alignment vertical="center" wrapText="1"/>
    </xf>
    <xf numFmtId="0" fontId="16" fillId="0" borderId="0" xfId="0" applyFont="1" applyAlignment="1" applyProtection="1">
      <alignment horizontal="center" vertical="center" wrapText="1"/>
    </xf>
    <xf numFmtId="165" fontId="9" fillId="0" borderId="0" xfId="0" applyNumberFormat="1" applyFont="1" applyAlignment="1" applyProtection="1">
      <alignment vertical="center" wrapText="1"/>
    </xf>
    <xf numFmtId="0" fontId="17" fillId="0" borderId="0" xfId="0" applyFont="1" applyAlignment="1" applyProtection="1">
      <alignment vertical="center" wrapText="1"/>
    </xf>
    <xf numFmtId="0" fontId="12" fillId="0" borderId="0" xfId="0" applyFont="1" applyAlignment="1" applyProtection="1">
      <alignment horizontal="center" vertical="center" wrapText="1"/>
    </xf>
    <xf numFmtId="2" fontId="12" fillId="0" borderId="0" xfId="0" applyNumberFormat="1" applyFont="1" applyAlignment="1" applyProtection="1">
      <alignment horizontal="center" vertical="center" wrapText="1"/>
    </xf>
    <xf numFmtId="0" fontId="13" fillId="0" borderId="0" xfId="0" applyFont="1" applyAlignment="1" applyProtection="1">
      <alignment horizontal="right" vertical="center" wrapText="1"/>
    </xf>
    <xf numFmtId="164" fontId="9" fillId="0" borderId="0" xfId="0" applyNumberFormat="1" applyFont="1" applyAlignment="1" applyProtection="1">
      <alignment vertical="center" wrapText="1"/>
    </xf>
    <xf numFmtId="165" fontId="17" fillId="0" borderId="0" xfId="0" applyNumberFormat="1" applyFont="1" applyAlignment="1" applyProtection="1">
      <alignment vertical="center" wrapText="1"/>
    </xf>
    <xf numFmtId="164" fontId="17" fillId="0" borderId="0" xfId="0" applyNumberFormat="1" applyFont="1" applyAlignment="1" applyProtection="1">
      <alignment vertical="center" wrapText="1"/>
    </xf>
    <xf numFmtId="0" fontId="30" fillId="0" borderId="0" xfId="0" applyFont="1" applyProtection="1"/>
    <xf numFmtId="0" fontId="31" fillId="0" borderId="0" xfId="0" applyFont="1" applyProtection="1"/>
    <xf numFmtId="0" fontId="23" fillId="0" borderId="0" xfId="0" applyFont="1" applyAlignment="1" applyProtection="1">
      <alignment horizontal="right" vertical="center" wrapText="1"/>
    </xf>
    <xf numFmtId="0" fontId="27" fillId="0" borderId="0" xfId="0" applyFont="1" applyProtection="1"/>
    <xf numFmtId="0" fontId="32" fillId="0" borderId="0" xfId="0" applyFont="1" applyProtection="1"/>
    <xf numFmtId="0" fontId="28" fillId="0" borderId="0" xfId="0" applyFont="1" applyProtection="1"/>
    <xf numFmtId="0" fontId="21" fillId="0" borderId="0" xfId="0" applyFont="1" applyProtection="1"/>
    <xf numFmtId="0" fontId="32" fillId="0" borderId="0" xfId="0" applyFont="1" applyAlignment="1" applyProtection="1">
      <alignment horizontal="left"/>
    </xf>
    <xf numFmtId="0" fontId="28" fillId="0" borderId="0" xfId="0" applyFont="1" applyAlignment="1" applyProtection="1">
      <alignment horizontal="left"/>
    </xf>
    <xf numFmtId="0" fontId="21" fillId="0" borderId="0" xfId="0" applyFont="1" applyAlignment="1" applyProtection="1">
      <alignment horizontal="left"/>
    </xf>
    <xf numFmtId="0" fontId="32" fillId="0" borderId="0" xfId="0" applyFont="1" applyAlignment="1" applyProtection="1">
      <alignment vertical="center"/>
    </xf>
    <xf numFmtId="0" fontId="23" fillId="0" borderId="0" xfId="0" applyFont="1" applyAlignment="1" applyProtection="1">
      <alignment horizontal="left" vertical="center" wrapText="1"/>
    </xf>
    <xf numFmtId="0" fontId="23" fillId="0" borderId="0" xfId="0" applyFont="1" applyAlignment="1" applyProtection="1">
      <alignment horizontal="center" vertical="center" wrapText="1"/>
    </xf>
    <xf numFmtId="0" fontId="23" fillId="0" borderId="0" xfId="0" applyFont="1" applyAlignment="1" applyProtection="1">
      <alignment vertical="center" wrapText="1"/>
    </xf>
    <xf numFmtId="0" fontId="29" fillId="0" borderId="0" xfId="0" applyFont="1" applyAlignment="1" applyProtection="1">
      <alignment vertical="center" wrapText="1"/>
    </xf>
    <xf numFmtId="0" fontId="27" fillId="0" borderId="0" xfId="0" applyFont="1" applyAlignment="1" applyProtection="1">
      <alignment vertical="center" wrapText="1"/>
    </xf>
    <xf numFmtId="0" fontId="27" fillId="0" borderId="0" xfId="0" applyFont="1" applyAlignment="1" applyProtection="1">
      <alignment horizontal="left" vertical="center" wrapText="1"/>
    </xf>
    <xf numFmtId="0" fontId="27" fillId="0" borderId="0" xfId="0" applyFont="1" applyAlignment="1" applyProtection="1">
      <alignment horizontal="center" vertical="center" wrapText="1"/>
    </xf>
    <xf numFmtId="0" fontId="27" fillId="0" borderId="0" xfId="0" applyFont="1" applyAlignment="1" applyProtection="1">
      <alignment horizontal="right" vertical="center" wrapText="1"/>
    </xf>
    <xf numFmtId="0" fontId="19" fillId="0" borderId="26" xfId="0" applyFont="1" applyBorder="1" applyAlignment="1" applyProtection="1">
      <alignment horizontal="center" vertical="center" wrapText="1"/>
    </xf>
    <xf numFmtId="2" fontId="26" fillId="0" borderId="21" xfId="0" applyNumberFormat="1" applyFont="1" applyBorder="1" applyAlignment="1" applyProtection="1">
      <alignment horizontal="right" vertical="center" wrapText="1"/>
    </xf>
    <xf numFmtId="2" fontId="9" fillId="0" borderId="10" xfId="0" applyNumberFormat="1" applyFont="1" applyBorder="1" applyAlignment="1" applyProtection="1">
      <alignment horizontal="right" vertical="center" wrapText="1"/>
    </xf>
    <xf numFmtId="2" fontId="26" fillId="0" borderId="1" xfId="0" applyNumberFormat="1" applyFont="1" applyBorder="1" applyAlignment="1" applyProtection="1">
      <alignment horizontal="right" vertical="center" wrapText="1"/>
    </xf>
    <xf numFmtId="0" fontId="26" fillId="0" borderId="21" xfId="0" applyFont="1" applyBorder="1" applyAlignment="1" applyProtection="1">
      <alignment vertical="center"/>
    </xf>
    <xf numFmtId="0" fontId="9" fillId="0" borderId="10" xfId="0" applyFont="1" applyBorder="1" applyAlignment="1" applyProtection="1">
      <alignment vertical="center"/>
    </xf>
    <xf numFmtId="165" fontId="19" fillId="0" borderId="26" xfId="0" applyNumberFormat="1" applyFont="1" applyBorder="1" applyAlignment="1" applyProtection="1">
      <alignment horizontal="center" vertical="center" wrapText="1"/>
    </xf>
    <xf numFmtId="164" fontId="19" fillId="0" borderId="26" xfId="0" applyNumberFormat="1" applyFont="1" applyBorder="1" applyAlignment="1" applyProtection="1">
      <alignment horizontal="center" vertical="center" wrapText="1"/>
    </xf>
    <xf numFmtId="165" fontId="19" fillId="0" borderId="37" xfId="0" applyNumberFormat="1" applyFont="1" applyBorder="1" applyAlignment="1" applyProtection="1">
      <alignment horizontal="center" vertical="center" wrapText="1"/>
    </xf>
    <xf numFmtId="0" fontId="19" fillId="0" borderId="37" xfId="0" applyFont="1" applyBorder="1" applyAlignment="1" applyProtection="1">
      <alignment horizontal="center" vertical="center" wrapText="1"/>
    </xf>
    <xf numFmtId="164" fontId="19" fillId="0" borderId="37" xfId="0" applyNumberFormat="1" applyFont="1" applyBorder="1" applyAlignment="1" applyProtection="1">
      <alignment horizontal="center" vertical="center" wrapText="1"/>
    </xf>
    <xf numFmtId="2" fontId="26" fillId="0" borderId="38" xfId="0" applyNumberFormat="1" applyFont="1" applyBorder="1" applyAlignment="1" applyProtection="1">
      <alignment horizontal="right" vertical="center" wrapText="1"/>
    </xf>
    <xf numFmtId="0" fontId="26" fillId="0" borderId="38" xfId="0" applyFont="1" applyBorder="1" applyAlignment="1" applyProtection="1">
      <alignment vertical="center"/>
    </xf>
    <xf numFmtId="165" fontId="26" fillId="0" borderId="37" xfId="0" applyNumberFormat="1" applyFont="1" applyBorder="1" applyAlignment="1" applyProtection="1">
      <alignment vertical="center" wrapText="1"/>
    </xf>
    <xf numFmtId="164" fontId="26" fillId="0" borderId="37" xfId="0" applyNumberFormat="1" applyFont="1" applyBorder="1" applyAlignment="1" applyProtection="1">
      <alignment vertical="center" wrapText="1"/>
    </xf>
    <xf numFmtId="165" fontId="26" fillId="0" borderId="38" xfId="0" applyNumberFormat="1" applyFont="1" applyBorder="1" applyAlignment="1" applyProtection="1">
      <alignment vertical="center" wrapText="1"/>
    </xf>
    <xf numFmtId="164" fontId="26" fillId="0" borderId="39" xfId="0" applyNumberFormat="1" applyFont="1" applyBorder="1" applyAlignment="1" applyProtection="1">
      <alignment vertical="center" wrapText="1"/>
    </xf>
    <xf numFmtId="2" fontId="26" fillId="0" borderId="37" xfId="0" applyNumberFormat="1" applyFont="1" applyBorder="1" applyAlignment="1" applyProtection="1">
      <alignment horizontal="right" vertical="center" wrapText="1"/>
    </xf>
    <xf numFmtId="0" fontId="10" fillId="0" borderId="4" xfId="0" applyFont="1" applyBorder="1" applyAlignment="1" applyProtection="1">
      <alignment horizontal="center" vertical="center" wrapText="1"/>
    </xf>
    <xf numFmtId="0" fontId="10" fillId="0" borderId="5" xfId="0" applyFont="1" applyBorder="1" applyAlignment="1" applyProtection="1">
      <alignment horizontal="center" vertical="center" wrapText="1"/>
    </xf>
    <xf numFmtId="2" fontId="10" fillId="0" borderId="5" xfId="0" applyNumberFormat="1" applyFont="1" applyBorder="1" applyAlignment="1" applyProtection="1">
      <alignment horizontal="center" vertical="center" wrapText="1"/>
    </xf>
    <xf numFmtId="0" fontId="11" fillId="0" borderId="5" xfId="0" applyFont="1" applyBorder="1" applyAlignment="1" applyProtection="1">
      <alignment horizontal="right" vertical="center" wrapText="1"/>
    </xf>
    <xf numFmtId="0" fontId="11" fillId="0" borderId="5" xfId="0" applyFont="1" applyBorder="1" applyAlignment="1" applyProtection="1">
      <alignment vertical="center" wrapText="1"/>
    </xf>
    <xf numFmtId="165" fontId="11" fillId="0" borderId="5" xfId="0" applyNumberFormat="1" applyFont="1" applyBorder="1" applyAlignment="1" applyProtection="1">
      <alignment vertical="center" wrapText="1"/>
    </xf>
    <xf numFmtId="164" fontId="11" fillId="0" borderId="5" xfId="0" applyNumberFormat="1" applyFont="1" applyBorder="1" applyAlignment="1" applyProtection="1">
      <alignment vertical="center" wrapText="1"/>
    </xf>
    <xf numFmtId="0" fontId="3" fillId="0" borderId="5" xfId="0" applyFont="1" applyBorder="1" applyAlignment="1" applyProtection="1">
      <alignment horizontal="center" vertical="center" wrapText="1"/>
    </xf>
    <xf numFmtId="10" fontId="3" fillId="0" borderId="6" xfId="0" applyNumberFormat="1" applyFont="1" applyBorder="1" applyAlignment="1" applyProtection="1">
      <alignment horizontal="center" vertical="center" wrapText="1"/>
    </xf>
    <xf numFmtId="0" fontId="4" fillId="0" borderId="0" xfId="0" applyFont="1" applyBorder="1" applyAlignment="1" applyProtection="1">
      <alignment horizontal="left" vertical="center"/>
    </xf>
    <xf numFmtId="2" fontId="4" fillId="0" borderId="0" xfId="0" applyNumberFormat="1" applyFont="1" applyBorder="1" applyAlignment="1" applyProtection="1">
      <alignment horizontal="left" vertical="center"/>
    </xf>
    <xf numFmtId="0" fontId="3" fillId="0" borderId="0" xfId="0" applyFont="1" applyBorder="1" applyAlignment="1" applyProtection="1">
      <alignment horizontal="left" vertical="center"/>
    </xf>
    <xf numFmtId="165" fontId="3" fillId="0" borderId="0" xfId="0" applyNumberFormat="1" applyFont="1" applyBorder="1" applyAlignment="1" applyProtection="1">
      <alignment horizontal="left" vertical="center"/>
    </xf>
    <xf numFmtId="164" fontId="3" fillId="0" borderId="0" xfId="0" applyNumberFormat="1" applyFont="1" applyBorder="1" applyAlignment="1" applyProtection="1">
      <alignment horizontal="left" vertical="center"/>
    </xf>
    <xf numFmtId="10" fontId="3" fillId="0" borderId="0" xfId="0" applyNumberFormat="1" applyFont="1" applyBorder="1" applyAlignment="1" applyProtection="1">
      <alignment horizontal="left" vertical="center"/>
    </xf>
    <xf numFmtId="0" fontId="17" fillId="0" borderId="0" xfId="0" applyFont="1" applyProtection="1"/>
    <xf numFmtId="166" fontId="0" fillId="0" borderId="0" xfId="0" applyNumberFormat="1" applyAlignment="1" applyProtection="1">
      <alignment horizontal="left"/>
    </xf>
    <xf numFmtId="164" fontId="6" fillId="0" borderId="4" xfId="0" applyNumberFormat="1" applyFont="1" applyBorder="1" applyAlignment="1" applyProtection="1">
      <alignment horizontal="center" vertical="center" wrapText="1"/>
    </xf>
    <xf numFmtId="164" fontId="6" fillId="0" borderId="5" xfId="0" applyNumberFormat="1" applyFont="1" applyBorder="1" applyAlignment="1" applyProtection="1">
      <alignment horizontal="center" vertical="center" wrapText="1"/>
    </xf>
    <xf numFmtId="164" fontId="6" fillId="0" borderId="6" xfId="0" applyNumberFormat="1" applyFont="1" applyBorder="1" applyAlignment="1" applyProtection="1">
      <alignment horizontal="center" vertical="center" wrapText="1"/>
    </xf>
    <xf numFmtId="164" fontId="6" fillId="0" borderId="12" xfId="0" applyNumberFormat="1" applyFont="1" applyBorder="1" applyAlignment="1" applyProtection="1">
      <alignment horizontal="center" vertical="center" wrapText="1"/>
    </xf>
    <xf numFmtId="164" fontId="6" fillId="0" borderId="0" xfId="0" applyNumberFormat="1" applyFont="1" applyAlignment="1" applyProtection="1">
      <alignment horizontal="center" vertical="center" wrapText="1"/>
    </xf>
    <xf numFmtId="164" fontId="6" fillId="0" borderId="13" xfId="0" applyNumberFormat="1" applyFont="1" applyBorder="1" applyAlignment="1" applyProtection="1">
      <alignment horizontal="center" vertical="center" wrapText="1"/>
    </xf>
    <xf numFmtId="164" fontId="6" fillId="0" borderId="14" xfId="0" applyNumberFormat="1" applyFont="1" applyBorder="1" applyAlignment="1" applyProtection="1">
      <alignment horizontal="center" vertical="center" wrapText="1"/>
    </xf>
    <xf numFmtId="164" fontId="6" fillId="0" borderId="7" xfId="0" applyNumberFormat="1" applyFont="1" applyBorder="1" applyAlignment="1" applyProtection="1">
      <alignment horizontal="center" vertical="center" wrapText="1"/>
    </xf>
    <xf numFmtId="164" fontId="6" fillId="0" borderId="8" xfId="0" applyNumberFormat="1" applyFont="1" applyBorder="1" applyAlignment="1" applyProtection="1">
      <alignment horizontal="center" vertical="center" wrapText="1"/>
    </xf>
    <xf numFmtId="0" fontId="19" fillId="0" borderId="26" xfId="0" applyFont="1" applyBorder="1" applyAlignment="1" applyProtection="1">
      <alignment horizontal="center" vertical="center" wrapText="1"/>
    </xf>
    <xf numFmtId="0" fontId="19" fillId="0" borderId="10" xfId="0" applyFont="1" applyBorder="1" applyAlignment="1" applyProtection="1">
      <alignment horizontal="center" vertical="center" wrapText="1"/>
    </xf>
    <xf numFmtId="0" fontId="26" fillId="0" borderId="29" xfId="0" applyFont="1" applyBorder="1" applyAlignment="1" applyProtection="1">
      <alignment horizontal="center" vertical="center" wrapText="1"/>
    </xf>
    <xf numFmtId="0" fontId="26" fillId="0" borderId="20" xfId="0" applyFont="1" applyBorder="1" applyAlignment="1" applyProtection="1">
      <alignment horizontal="center" vertical="center" wrapText="1"/>
    </xf>
    <xf numFmtId="0" fontId="26" fillId="0" borderId="9" xfId="0" applyFont="1" applyBorder="1" applyAlignment="1" applyProtection="1">
      <alignment horizontal="center" vertical="center" wrapText="1"/>
    </xf>
    <xf numFmtId="0" fontId="26" fillId="0" borderId="38" xfId="0" applyFont="1" applyBorder="1" applyAlignment="1" applyProtection="1">
      <alignment horizontal="center" vertical="center" wrapText="1"/>
    </xf>
    <xf numFmtId="0" fontId="26" fillId="0" borderId="21" xfId="0" applyFont="1" applyBorder="1" applyAlignment="1" applyProtection="1">
      <alignment horizontal="center" vertical="center" wrapText="1"/>
    </xf>
    <xf numFmtId="0" fontId="26" fillId="0" borderId="10" xfId="0" applyFont="1" applyBorder="1" applyAlignment="1" applyProtection="1">
      <alignment horizontal="center" vertical="center" wrapText="1"/>
    </xf>
    <xf numFmtId="0" fontId="8" fillId="0" borderId="0" xfId="0" applyFont="1" applyAlignment="1" applyProtection="1">
      <alignment horizontal="center" vertical="center" wrapText="1"/>
    </xf>
    <xf numFmtId="165" fontId="24" fillId="0" borderId="10" xfId="0" applyNumberFormat="1" applyFont="1" applyBorder="1" applyAlignment="1" applyProtection="1">
      <alignment horizontal="center" vertical="center" wrapText="1"/>
    </xf>
    <xf numFmtId="0" fontId="19" fillId="2" borderId="25" xfId="0" applyFont="1" applyFill="1" applyBorder="1" applyAlignment="1" applyProtection="1">
      <alignment horizontal="center" vertical="center" wrapText="1"/>
    </xf>
    <xf numFmtId="0" fontId="19" fillId="2" borderId="9" xfId="0" applyFont="1" applyFill="1" applyBorder="1" applyAlignment="1" applyProtection="1">
      <alignment horizontal="center" vertical="center" wrapText="1"/>
    </xf>
    <xf numFmtId="2" fontId="26" fillId="0" borderId="38" xfId="0" applyNumberFormat="1" applyFont="1" applyBorder="1" applyAlignment="1" applyProtection="1">
      <alignment horizontal="center" vertical="center" wrapText="1"/>
    </xf>
    <xf numFmtId="2" fontId="26" fillId="0" borderId="21" xfId="0" applyNumberFormat="1" applyFont="1" applyBorder="1" applyAlignment="1" applyProtection="1">
      <alignment horizontal="center" vertical="center" wrapText="1"/>
    </xf>
    <xf numFmtId="2" fontId="26" fillId="0" borderId="10" xfId="0" applyNumberFormat="1" applyFont="1" applyBorder="1" applyAlignment="1" applyProtection="1">
      <alignment horizontal="center" vertical="center" wrapText="1"/>
    </xf>
    <xf numFmtId="0" fontId="18" fillId="0" borderId="27" xfId="0" applyFont="1" applyBorder="1" applyAlignment="1" applyProtection="1">
      <alignment horizontal="center" vertical="center" wrapText="1"/>
    </xf>
    <xf numFmtId="0" fontId="19" fillId="3" borderId="34" xfId="0" applyFont="1" applyFill="1" applyBorder="1" applyAlignment="1" applyProtection="1">
      <alignment horizontal="center"/>
    </xf>
    <xf numFmtId="0" fontId="19" fillId="2" borderId="26" xfId="0" applyFont="1" applyFill="1" applyBorder="1" applyAlignment="1" applyProtection="1">
      <alignment horizontal="center" vertical="center" wrapText="1"/>
    </xf>
    <xf numFmtId="0" fontId="19" fillId="2" borderId="10" xfId="0" applyFont="1" applyFill="1" applyBorder="1" applyAlignment="1" applyProtection="1">
      <alignment horizontal="center" vertical="center" wrapText="1"/>
    </xf>
    <xf numFmtId="0" fontId="26" fillId="0" borderId="30" xfId="0" applyFont="1" applyBorder="1" applyAlignment="1" applyProtection="1">
      <alignment horizontal="center" vertical="center" wrapText="1"/>
    </xf>
    <xf numFmtId="0" fontId="26" fillId="0" borderId="31" xfId="0" applyFont="1" applyBorder="1" applyAlignment="1" applyProtection="1">
      <alignment horizontal="center" vertical="center" wrapText="1"/>
    </xf>
    <xf numFmtId="0" fontId="26" fillId="0" borderId="37" xfId="0" applyFont="1" applyBorder="1" applyAlignment="1" applyProtection="1">
      <alignment horizontal="center" vertical="center" wrapText="1"/>
    </xf>
    <xf numFmtId="0" fontId="26" fillId="0" borderId="1" xfId="0" applyFont="1" applyBorder="1" applyAlignment="1" applyProtection="1">
      <alignment horizontal="center" vertical="center" wrapText="1"/>
    </xf>
    <xf numFmtId="0" fontId="16" fillId="0" borderId="37" xfId="0" applyFont="1" applyBorder="1" applyAlignment="1" applyProtection="1">
      <alignment horizontal="center" vertical="center" wrapText="1"/>
    </xf>
    <xf numFmtId="0" fontId="16" fillId="0" borderId="1" xfId="0" applyFont="1" applyBorder="1" applyAlignment="1" applyProtection="1">
      <alignment horizontal="center" vertical="center" wrapText="1"/>
    </xf>
    <xf numFmtId="0" fontId="16" fillId="0" borderId="21" xfId="0" applyFont="1" applyBorder="1" applyAlignment="1" applyProtection="1">
      <alignment horizontal="center" vertical="center" wrapText="1"/>
    </xf>
    <xf numFmtId="0" fontId="16" fillId="0" borderId="10" xfId="0" applyFont="1" applyBorder="1" applyAlignment="1" applyProtection="1">
      <alignment horizontal="center" vertical="center" wrapText="1"/>
    </xf>
    <xf numFmtId="10" fontId="16" fillId="0" borderId="18" xfId="0" applyNumberFormat="1" applyFont="1" applyBorder="1" applyAlignment="1" applyProtection="1">
      <alignment horizontal="center" vertical="center" wrapText="1"/>
    </xf>
    <xf numFmtId="10" fontId="16" fillId="0" borderId="28" xfId="0" applyNumberFormat="1" applyFont="1" applyBorder="1" applyAlignment="1" applyProtection="1">
      <alignment horizontal="center" vertical="center" wrapText="1"/>
    </xf>
    <xf numFmtId="10" fontId="16" fillId="0" borderId="22" xfId="0" applyNumberFormat="1" applyFont="1" applyBorder="1" applyAlignment="1" applyProtection="1">
      <alignment horizontal="center" vertical="center" wrapText="1"/>
    </xf>
    <xf numFmtId="10" fontId="16" fillId="0" borderId="19" xfId="0" applyNumberFormat="1" applyFont="1" applyBorder="1" applyAlignment="1" applyProtection="1">
      <alignment horizontal="center" vertical="center" wrapText="1"/>
    </xf>
    <xf numFmtId="0" fontId="19" fillId="2" borderId="32" xfId="0" applyFont="1" applyFill="1" applyBorder="1" applyAlignment="1" applyProtection="1">
      <alignment horizontal="center" vertical="center" wrapText="1"/>
    </xf>
    <xf numFmtId="0" fontId="19" fillId="2" borderId="33" xfId="0" applyFont="1" applyFill="1" applyBorder="1" applyAlignment="1" applyProtection="1">
      <alignment horizontal="center" vertical="center" wrapText="1"/>
    </xf>
    <xf numFmtId="0" fontId="19" fillId="2" borderId="35" xfId="0" applyFont="1" applyFill="1" applyBorder="1" applyAlignment="1" applyProtection="1">
      <alignment horizontal="center" vertical="center" wrapText="1"/>
    </xf>
    <xf numFmtId="10" fontId="3" fillId="0" borderId="0" xfId="0" applyNumberFormat="1" applyFont="1" applyAlignment="1" applyProtection="1">
      <alignment horizontal="center" vertical="center" wrapText="1"/>
    </xf>
    <xf numFmtId="0" fontId="26" fillId="0" borderId="40" xfId="0" applyFont="1" applyBorder="1" applyAlignment="1" applyProtection="1">
      <alignment horizontal="center" vertical="center" wrapText="1"/>
    </xf>
    <xf numFmtId="0" fontId="26" fillId="0" borderId="2"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5" xfId="0" applyFont="1" applyBorder="1" applyAlignment="1" applyProtection="1">
      <alignment horizontal="center" vertical="center" wrapText="1"/>
    </xf>
    <xf numFmtId="0" fontId="14" fillId="0" borderId="6" xfId="0" applyFont="1" applyBorder="1" applyAlignment="1" applyProtection="1">
      <alignment horizontal="center" vertical="center" wrapText="1"/>
    </xf>
    <xf numFmtId="0" fontId="14" fillId="0" borderId="12" xfId="0" applyFont="1" applyBorder="1" applyAlignment="1" applyProtection="1">
      <alignment horizontal="center" vertical="center" wrapText="1"/>
    </xf>
    <xf numFmtId="0" fontId="14" fillId="0" borderId="0" xfId="0" applyFont="1" applyAlignment="1" applyProtection="1">
      <alignment horizontal="center" vertical="center" wrapText="1"/>
    </xf>
    <xf numFmtId="0" fontId="14" fillId="0" borderId="13" xfId="0" applyFont="1" applyBorder="1" applyAlignment="1" applyProtection="1">
      <alignment horizontal="center" vertical="center" wrapText="1"/>
    </xf>
    <xf numFmtId="0" fontId="14" fillId="0" borderId="14" xfId="0" applyFont="1" applyBorder="1" applyAlignment="1" applyProtection="1">
      <alignment horizontal="center" vertical="center" wrapText="1"/>
    </xf>
    <xf numFmtId="0" fontId="14" fillId="0" borderId="7" xfId="0" applyFont="1" applyBorder="1" applyAlignment="1" applyProtection="1">
      <alignment horizontal="center" vertical="center" wrapText="1"/>
    </xf>
    <xf numFmtId="0" fontId="14" fillId="0" borderId="8" xfId="0" applyFont="1" applyBorder="1" applyAlignment="1" applyProtection="1">
      <alignment horizontal="center" vertical="center" wrapText="1"/>
    </xf>
    <xf numFmtId="10" fontId="22" fillId="0" borderId="4" xfId="0" applyNumberFormat="1" applyFont="1" applyBorder="1" applyAlignment="1" applyProtection="1">
      <alignment horizontal="center" vertical="center" wrapText="1"/>
    </xf>
    <xf numFmtId="10" fontId="22" fillId="0" borderId="6" xfId="0" applyNumberFormat="1" applyFont="1" applyBorder="1" applyAlignment="1" applyProtection="1">
      <alignment horizontal="center" vertical="center" wrapText="1"/>
    </xf>
    <xf numFmtId="10" fontId="22" fillId="0" borderId="12" xfId="0" applyNumberFormat="1" applyFont="1" applyBorder="1" applyAlignment="1" applyProtection="1">
      <alignment horizontal="center" vertical="center" wrapText="1"/>
    </xf>
    <xf numFmtId="10" fontId="22" fillId="0" borderId="13" xfId="0" applyNumberFormat="1" applyFont="1" applyBorder="1" applyAlignment="1" applyProtection="1">
      <alignment horizontal="center" vertical="center" wrapText="1"/>
    </xf>
    <xf numFmtId="10" fontId="22" fillId="0" borderId="14" xfId="0" applyNumberFormat="1" applyFont="1" applyBorder="1" applyAlignment="1" applyProtection="1">
      <alignment horizontal="center" vertical="center" wrapText="1"/>
    </xf>
    <xf numFmtId="10" fontId="22" fillId="0" borderId="8" xfId="0" applyNumberFormat="1" applyFont="1" applyBorder="1" applyAlignment="1" applyProtection="1">
      <alignment horizontal="center" vertical="center" wrapText="1"/>
    </xf>
    <xf numFmtId="164" fontId="22" fillId="0" borderId="4" xfId="0" applyNumberFormat="1" applyFont="1" applyBorder="1" applyAlignment="1" applyProtection="1">
      <alignment horizontal="center" vertical="center" wrapText="1"/>
    </xf>
    <xf numFmtId="164" fontId="22" fillId="0" borderId="6" xfId="0" applyNumberFormat="1" applyFont="1" applyBorder="1" applyAlignment="1" applyProtection="1">
      <alignment horizontal="center" vertical="center" wrapText="1"/>
    </xf>
    <xf numFmtId="164" fontId="22" fillId="0" borderId="12" xfId="0" applyNumberFormat="1" applyFont="1" applyBorder="1" applyAlignment="1" applyProtection="1">
      <alignment horizontal="center" vertical="center" wrapText="1"/>
    </xf>
    <xf numFmtId="164" fontId="22" fillId="0" borderId="13" xfId="0" applyNumberFormat="1" applyFont="1" applyBorder="1" applyAlignment="1" applyProtection="1">
      <alignment horizontal="center" vertical="center" wrapText="1"/>
    </xf>
    <xf numFmtId="164" fontId="22" fillId="0" borderId="14" xfId="0" applyNumberFormat="1" applyFont="1" applyBorder="1" applyAlignment="1" applyProtection="1">
      <alignment horizontal="center" vertical="center" wrapText="1"/>
    </xf>
    <xf numFmtId="164" fontId="22" fillId="0" borderId="8" xfId="0" applyNumberFormat="1" applyFont="1" applyBorder="1" applyAlignment="1" applyProtection="1">
      <alignment horizontal="center" vertical="center" wrapText="1"/>
    </xf>
    <xf numFmtId="9" fontId="17" fillId="0" borderId="0" xfId="0" applyNumberFormat="1" applyFont="1" applyAlignment="1" applyProtection="1">
      <alignment horizontal="center" vertical="center" wrapText="1"/>
    </xf>
    <xf numFmtId="0" fontId="13" fillId="0" borderId="4" xfId="0" applyFont="1" applyBorder="1" applyAlignment="1" applyProtection="1">
      <alignment horizontal="left" vertical="center" wrapText="1"/>
    </xf>
    <xf numFmtId="0" fontId="13" fillId="0" borderId="5" xfId="0" applyFont="1" applyBorder="1" applyAlignment="1" applyProtection="1">
      <alignment horizontal="left" vertical="center" wrapText="1"/>
    </xf>
    <xf numFmtId="0" fontId="13" fillId="0" borderId="6" xfId="0" applyFont="1" applyBorder="1" applyAlignment="1" applyProtection="1">
      <alignment horizontal="left" vertical="center" wrapText="1"/>
    </xf>
    <xf numFmtId="0" fontId="13" fillId="0" borderId="12" xfId="0" applyFont="1" applyBorder="1" applyAlignment="1" applyProtection="1">
      <alignment horizontal="left" vertical="center" wrapText="1"/>
    </xf>
    <xf numFmtId="0" fontId="13" fillId="0" borderId="0" xfId="0" applyFont="1" applyAlignment="1" applyProtection="1">
      <alignment horizontal="left" vertical="center" wrapText="1"/>
    </xf>
    <xf numFmtId="0" fontId="13" fillId="0" borderId="13" xfId="0" applyFont="1" applyBorder="1" applyAlignment="1" applyProtection="1">
      <alignment horizontal="left" vertical="center" wrapText="1"/>
    </xf>
    <xf numFmtId="0" fontId="13" fillId="0" borderId="14" xfId="0" applyFont="1" applyBorder="1" applyAlignment="1" applyProtection="1">
      <alignment horizontal="left" vertical="center" wrapText="1"/>
    </xf>
    <xf numFmtId="0" fontId="13" fillId="0" borderId="7" xfId="0" applyFont="1" applyBorder="1" applyAlignment="1" applyProtection="1">
      <alignment horizontal="left" vertical="center" wrapText="1"/>
    </xf>
    <xf numFmtId="0" fontId="13" fillId="0" borderId="8" xfId="0" applyFont="1" applyBorder="1" applyAlignment="1" applyProtection="1">
      <alignment horizontal="left" vertical="center" wrapText="1"/>
    </xf>
    <xf numFmtId="0" fontId="20" fillId="0" borderId="15" xfId="0" applyFont="1" applyBorder="1" applyAlignment="1" applyProtection="1">
      <alignment horizontal="center" vertical="center" wrapText="1"/>
    </xf>
    <xf numFmtId="0" fontId="20" fillId="0" borderId="16" xfId="0" applyFont="1" applyBorder="1" applyAlignment="1" applyProtection="1">
      <alignment horizontal="center" vertical="center" wrapText="1"/>
    </xf>
    <xf numFmtId="0" fontId="19" fillId="4" borderId="34" xfId="0" applyFont="1" applyFill="1" applyBorder="1" applyAlignment="1" applyProtection="1">
      <alignment horizontal="center"/>
    </xf>
    <xf numFmtId="0" fontId="20" fillId="0" borderId="36" xfId="0" applyFont="1" applyBorder="1" applyAlignment="1" applyProtection="1">
      <alignment horizontal="center" vertical="center" wrapText="1"/>
    </xf>
    <xf numFmtId="0" fontId="20" fillId="0" borderId="1" xfId="0" applyFont="1" applyBorder="1" applyAlignment="1" applyProtection="1">
      <alignment horizontal="center" vertical="center" wrapText="1"/>
    </xf>
    <xf numFmtId="0" fontId="16" fillId="0" borderId="23" xfId="0" applyFont="1" applyBorder="1" applyAlignment="1" applyProtection="1">
      <alignment horizontal="left" vertical="center" wrapText="1"/>
    </xf>
    <xf numFmtId="0" fontId="16" fillId="0" borderId="17" xfId="0" applyFont="1" applyBorder="1" applyAlignment="1" applyProtection="1">
      <alignment horizontal="left" vertical="center" wrapText="1"/>
    </xf>
    <xf numFmtId="0" fontId="16" fillId="0" borderId="38" xfId="0" applyFont="1" applyBorder="1" applyAlignment="1" applyProtection="1">
      <alignment horizontal="center" vertical="center" wrapText="1"/>
    </xf>
    <xf numFmtId="10" fontId="20" fillId="0" borderId="6" xfId="0" applyNumberFormat="1" applyFont="1" applyBorder="1" applyAlignment="1" applyProtection="1">
      <alignment horizontal="center" vertical="center" wrapText="1"/>
    </xf>
    <xf numFmtId="10" fontId="20" fillId="0" borderId="13" xfId="0" applyNumberFormat="1" applyFont="1" applyBorder="1" applyAlignment="1" applyProtection="1">
      <alignment horizontal="center" vertical="center" wrapText="1"/>
    </xf>
    <xf numFmtId="9" fontId="26" fillId="0" borderId="37" xfId="0" applyNumberFormat="1" applyFont="1" applyBorder="1" applyAlignment="1" applyProtection="1">
      <alignment horizontal="center" vertical="center" wrapText="1"/>
    </xf>
    <xf numFmtId="9" fontId="26" fillId="0" borderId="1" xfId="0" applyNumberFormat="1" applyFont="1" applyBorder="1" applyAlignment="1" applyProtection="1">
      <alignment horizontal="center" vertical="center" wrapText="1"/>
    </xf>
    <xf numFmtId="0" fontId="9" fillId="0" borderId="10" xfId="0" applyFont="1" applyBorder="1" applyAlignment="1" applyProtection="1">
      <alignment horizontal="center" vertical="center" wrapText="1"/>
    </xf>
    <xf numFmtId="9" fontId="26" fillId="0" borderId="38" xfId="0" applyNumberFormat="1" applyFont="1" applyBorder="1" applyAlignment="1" applyProtection="1">
      <alignment horizontal="center" vertical="center" wrapText="1"/>
    </xf>
    <xf numFmtId="9" fontId="26" fillId="0" borderId="21" xfId="0" applyNumberFormat="1" applyFont="1" applyBorder="1" applyAlignment="1" applyProtection="1">
      <alignment horizontal="center" vertical="center" wrapText="1"/>
    </xf>
  </cellXfs>
  <cellStyles count="2">
    <cellStyle name="Normal" xfId="0" builtinId="0"/>
    <cellStyle name="Normal 2" xfId="1"/>
  </cellStyles>
  <dxfs count="0"/>
  <tableStyles count="0" defaultTableStyle="TableStyleMedium2"/>
  <colors>
    <mruColors>
      <color rgb="FFFF3300"/>
      <color rgb="FFE94605"/>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14</xdr:col>
      <xdr:colOff>471714</xdr:colOff>
      <xdr:row>36</xdr:row>
      <xdr:rowOff>99785</xdr:rowOff>
    </xdr:from>
    <xdr:to>
      <xdr:col>15</xdr:col>
      <xdr:colOff>729242</xdr:colOff>
      <xdr:row>38</xdr:row>
      <xdr:rowOff>97404</xdr:rowOff>
    </xdr:to>
    <xdr:sp macro="" textlink="">
      <xdr:nvSpPr>
        <xdr:cNvPr id="4" name="Left Arrow 4">
          <a:extLst>
            <a:ext uri="{FF2B5EF4-FFF2-40B4-BE49-F238E27FC236}">
              <a16:creationId xmlns:a16="http://schemas.microsoft.com/office/drawing/2014/main" xmlns="" id="{0CCFAE2A-5201-4E3F-9840-230F40600BA4}"/>
            </a:ext>
          </a:extLst>
        </xdr:cNvPr>
        <xdr:cNvSpPr/>
      </xdr:nvSpPr>
      <xdr:spPr>
        <a:xfrm rot="10800000">
          <a:off x="13579928" y="8300356"/>
          <a:ext cx="1146528" cy="378619"/>
        </a:xfrm>
        <a:prstGeom prst="leftArrow">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oneCell">
    <xdr:from>
      <xdr:col>14</xdr:col>
      <xdr:colOff>317500</xdr:colOff>
      <xdr:row>5</xdr:row>
      <xdr:rowOff>45359</xdr:rowOff>
    </xdr:from>
    <xdr:to>
      <xdr:col>17</xdr:col>
      <xdr:colOff>235858</xdr:colOff>
      <xdr:row>9</xdr:row>
      <xdr:rowOff>149681</xdr:rowOff>
    </xdr:to>
    <xdr:pic>
      <xdr:nvPicPr>
        <xdr:cNvPr id="5" name="Picture 4">
          <a:extLst>
            <a:ext uri="{FF2B5EF4-FFF2-40B4-BE49-F238E27FC236}">
              <a16:creationId xmlns:a16="http://schemas.microsoft.com/office/drawing/2014/main" xmlns="" id="{FEFE7E13-05F3-B396-8E8E-58DCDC4749B0}"/>
            </a:ext>
          </a:extLst>
        </xdr:cNvPr>
        <xdr:cNvPicPr>
          <a:picLocks noChangeAspect="1"/>
        </xdr:cNvPicPr>
      </xdr:nvPicPr>
      <xdr:blipFill>
        <a:blip xmlns:r="http://schemas.openxmlformats.org/officeDocument/2006/relationships" r:embed="rId1"/>
        <a:stretch>
          <a:fillRect/>
        </a:stretch>
      </xdr:blipFill>
      <xdr:spPr>
        <a:xfrm>
          <a:off x="16387536" y="1229180"/>
          <a:ext cx="2707822" cy="105682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U75"/>
  <sheetViews>
    <sheetView tabSelected="1" view="pageBreakPreview" zoomScale="70" zoomScaleNormal="80" zoomScaleSheetLayoutView="70" zoomScalePageLayoutView="80" workbookViewId="0">
      <selection activeCell="I23" sqref="I23"/>
    </sheetView>
  </sheetViews>
  <sheetFormatPr defaultColWidth="9.140625" defaultRowHeight="15" x14ac:dyDescent="0.25"/>
  <cols>
    <col min="1" max="1" width="33.28515625" style="4" customWidth="1"/>
    <col min="2" max="2" width="16.85546875" style="4" customWidth="1"/>
    <col min="3" max="3" width="18.7109375" style="5" customWidth="1"/>
    <col min="4" max="4" width="11.85546875" style="5" customWidth="1"/>
    <col min="5" max="5" width="18" style="5" customWidth="1"/>
    <col min="6" max="6" width="15.85546875" style="5" customWidth="1"/>
    <col min="7" max="7" width="17.28515625" style="5" customWidth="1"/>
    <col min="8" max="8" width="11.85546875" style="6" customWidth="1"/>
    <col min="9" max="9" width="34" style="7" customWidth="1"/>
    <col min="10" max="10" width="14.28515625" style="6" customWidth="1"/>
    <col min="11" max="11" width="15.5703125" style="5" customWidth="1"/>
    <col min="12" max="12" width="13.7109375" style="6" customWidth="1"/>
    <col min="13" max="13" width="18.28515625" style="6" customWidth="1"/>
    <col min="14" max="14" width="1.140625" style="8" customWidth="1"/>
    <col min="15" max="15" width="12.7109375" style="7" customWidth="1"/>
    <col min="16" max="16" width="16.42578125" style="7" customWidth="1"/>
    <col min="17" max="17" width="12.7109375" style="7" customWidth="1"/>
    <col min="18" max="18" width="17.28515625" style="7" customWidth="1"/>
    <col min="19" max="19" width="14.5703125" style="10" customWidth="1"/>
    <col min="20" max="20" width="33.28515625" style="8" hidden="1" customWidth="1"/>
    <col min="21" max="16384" width="9.140625" style="7"/>
  </cols>
  <sheetData>
    <row r="2" spans="1:20" x14ac:dyDescent="0.25">
      <c r="P2" s="9" t="s">
        <v>8</v>
      </c>
      <c r="Q2" s="106">
        <f ca="1">TODAY()</f>
        <v>46207</v>
      </c>
      <c r="R2" s="106"/>
    </row>
    <row r="3" spans="1:20" ht="15.75" thickBot="1" x14ac:dyDescent="0.3">
      <c r="P3" s="11"/>
    </row>
    <row r="4" spans="1:20" x14ac:dyDescent="0.25">
      <c r="H4" s="107" t="s">
        <v>16</v>
      </c>
      <c r="I4" s="108"/>
      <c r="J4" s="108"/>
      <c r="K4" s="109"/>
      <c r="L4" s="11"/>
      <c r="P4" s="11"/>
    </row>
    <row r="5" spans="1:20" ht="17.25" customHeight="1" x14ac:dyDescent="0.3">
      <c r="A5" s="12" t="s">
        <v>7</v>
      </c>
      <c r="B5" s="12"/>
      <c r="C5" s="11"/>
      <c r="H5" s="110"/>
      <c r="I5" s="111"/>
      <c r="J5" s="111"/>
      <c r="K5" s="112"/>
      <c r="P5" s="12" t="s">
        <v>9</v>
      </c>
    </row>
    <row r="6" spans="1:20" ht="21.75" thickBot="1" x14ac:dyDescent="0.4">
      <c r="A6" s="105"/>
      <c r="B6" s="11"/>
      <c r="C6" s="11"/>
      <c r="H6" s="113"/>
      <c r="I6" s="114"/>
      <c r="J6" s="114"/>
      <c r="K6" s="115"/>
      <c r="P6" s="11"/>
    </row>
    <row r="7" spans="1:20" ht="18.75" x14ac:dyDescent="0.3">
      <c r="A7" s="13"/>
      <c r="B7" s="11"/>
      <c r="C7" s="11"/>
      <c r="I7" s="14"/>
      <c r="J7" s="15"/>
      <c r="P7" s="11"/>
    </row>
    <row r="8" spans="1:20" x14ac:dyDescent="0.25">
      <c r="A8" s="11"/>
      <c r="P8" s="11"/>
    </row>
    <row r="9" spans="1:20" ht="18.75" x14ac:dyDescent="0.25">
      <c r="A9" s="16"/>
      <c r="P9" s="11"/>
    </row>
    <row r="10" spans="1:20" x14ac:dyDescent="0.25">
      <c r="H10" s="124" t="s">
        <v>42</v>
      </c>
      <c r="I10" s="124"/>
      <c r="J10" s="124"/>
      <c r="K10" s="124"/>
      <c r="P10" s="11"/>
    </row>
    <row r="11" spans="1:20" x14ac:dyDescent="0.25">
      <c r="H11" s="124"/>
      <c r="I11" s="124"/>
      <c r="J11" s="124"/>
      <c r="K11" s="124"/>
      <c r="P11" s="11"/>
    </row>
    <row r="12" spans="1:20" x14ac:dyDescent="0.25">
      <c r="H12" s="124"/>
      <c r="I12" s="124"/>
      <c r="J12" s="124"/>
      <c r="K12" s="124"/>
      <c r="O12" s="18" t="s">
        <v>21</v>
      </c>
      <c r="P12" s="11"/>
      <c r="Q12" s="11" t="s">
        <v>22</v>
      </c>
    </row>
    <row r="13" spans="1:20" x14ac:dyDescent="0.25">
      <c r="A13" s="17"/>
      <c r="B13" s="7"/>
      <c r="C13" s="7"/>
      <c r="H13" s="124"/>
      <c r="I13" s="124"/>
      <c r="J13" s="124"/>
      <c r="K13" s="124"/>
      <c r="O13" s="18" t="s">
        <v>23</v>
      </c>
      <c r="P13" s="11"/>
      <c r="Q13" s="11" t="s">
        <v>24</v>
      </c>
    </row>
    <row r="14" spans="1:20" x14ac:dyDescent="0.25">
      <c r="A14" s="7"/>
      <c r="B14" s="7"/>
      <c r="C14" s="7"/>
      <c r="N14" s="7"/>
      <c r="S14" s="19"/>
      <c r="T14" s="7"/>
    </row>
    <row r="15" spans="1:20" x14ac:dyDescent="0.25">
      <c r="A15" s="7"/>
      <c r="B15" s="7"/>
      <c r="C15" s="7"/>
    </row>
    <row r="17" spans="1:20" ht="15.75" thickBot="1" x14ac:dyDescent="0.3"/>
    <row r="18" spans="1:20" s="20" customFormat="1" ht="19.5" thickBot="1" x14ac:dyDescent="0.35">
      <c r="A18" s="131"/>
      <c r="B18" s="131"/>
      <c r="C18" s="131"/>
      <c r="D18" s="131"/>
      <c r="E18" s="131"/>
      <c r="F18" s="131"/>
      <c r="G18" s="131"/>
      <c r="H18" s="131"/>
      <c r="I18" s="131"/>
      <c r="J18" s="132" t="s">
        <v>32</v>
      </c>
      <c r="K18" s="132"/>
      <c r="L18" s="132"/>
      <c r="M18" s="132"/>
      <c r="N18" s="187"/>
      <c r="O18" s="186" t="s">
        <v>33</v>
      </c>
      <c r="P18" s="186"/>
      <c r="Q18" s="186"/>
      <c r="R18" s="186"/>
      <c r="S18" s="192" t="s">
        <v>25</v>
      </c>
      <c r="T18" s="184" t="s">
        <v>20</v>
      </c>
    </row>
    <row r="19" spans="1:20" s="20" customFormat="1" ht="37.5" x14ac:dyDescent="0.25">
      <c r="A19" s="126" t="s">
        <v>2</v>
      </c>
      <c r="B19" s="133" t="s">
        <v>19</v>
      </c>
      <c r="C19" s="133" t="s">
        <v>15</v>
      </c>
      <c r="D19" s="147" t="s">
        <v>6</v>
      </c>
      <c r="E19" s="149" t="s">
        <v>34</v>
      </c>
      <c r="F19" s="116" t="s">
        <v>5</v>
      </c>
      <c r="G19" s="116" t="s">
        <v>17</v>
      </c>
      <c r="H19" s="116" t="s">
        <v>44</v>
      </c>
      <c r="I19" s="116" t="s">
        <v>45</v>
      </c>
      <c r="J19" s="78" t="s">
        <v>4</v>
      </c>
      <c r="K19" s="72" t="s">
        <v>0</v>
      </c>
      <c r="L19" s="78" t="s">
        <v>3</v>
      </c>
      <c r="M19" s="79" t="s">
        <v>1</v>
      </c>
      <c r="N19" s="188"/>
      <c r="O19" s="80" t="s">
        <v>4</v>
      </c>
      <c r="P19" s="81" t="s">
        <v>54</v>
      </c>
      <c r="Q19" s="80" t="s">
        <v>3</v>
      </c>
      <c r="R19" s="82" t="s">
        <v>1</v>
      </c>
      <c r="S19" s="193"/>
      <c r="T19" s="185"/>
    </row>
    <row r="20" spans="1:20" s="24" customFormat="1" ht="19.5" thickBot="1" x14ac:dyDescent="0.3">
      <c r="A20" s="127"/>
      <c r="B20" s="134"/>
      <c r="C20" s="134"/>
      <c r="D20" s="148"/>
      <c r="E20" s="148"/>
      <c r="F20" s="117"/>
      <c r="G20" s="117"/>
      <c r="H20" s="117"/>
      <c r="I20" s="117"/>
      <c r="J20" s="125" t="s">
        <v>18</v>
      </c>
      <c r="K20" s="125"/>
      <c r="L20" s="125"/>
      <c r="M20" s="125"/>
      <c r="N20" s="21"/>
      <c r="O20" s="125" t="s">
        <v>18</v>
      </c>
      <c r="P20" s="125"/>
      <c r="Q20" s="125"/>
      <c r="R20" s="125"/>
      <c r="S20" s="22"/>
      <c r="T20" s="23"/>
    </row>
    <row r="21" spans="1:20" s="27" customFormat="1" ht="21" x14ac:dyDescent="0.25">
      <c r="A21" s="118"/>
      <c r="B21" s="121"/>
      <c r="C21" s="121"/>
      <c r="D21" s="121"/>
      <c r="E21" s="121"/>
      <c r="F21" s="121"/>
      <c r="G21" s="128">
        <f>(((H21+H22)/84)*365)/1000</f>
        <v>0</v>
      </c>
      <c r="H21" s="83"/>
      <c r="I21" s="84" t="s">
        <v>49</v>
      </c>
      <c r="J21" s="85"/>
      <c r="K21" s="194"/>
      <c r="L21" s="85">
        <f t="shared" ref="L21:L22" si="0">J21*(1-K21)</f>
        <v>0</v>
      </c>
      <c r="M21" s="86">
        <f t="shared" ref="M21:M22" si="1">L21*H21</f>
        <v>0</v>
      </c>
      <c r="N21" s="191"/>
      <c r="O21" s="87"/>
      <c r="P21" s="197"/>
      <c r="Q21" s="85">
        <f t="shared" ref="Q21:Q22" si="2">O21*(1-P21)</f>
        <v>0</v>
      </c>
      <c r="R21" s="88">
        <f t="shared" ref="R21:R22" si="3">Q21*H21</f>
        <v>0</v>
      </c>
      <c r="S21" s="143" t="e">
        <f>1-(R24/M24)</f>
        <v>#DIV/0!</v>
      </c>
      <c r="T21" s="189"/>
    </row>
    <row r="22" spans="1:20" s="27" customFormat="1" ht="21" x14ac:dyDescent="0.25">
      <c r="A22" s="119"/>
      <c r="B22" s="122"/>
      <c r="C22" s="122"/>
      <c r="D22" s="122"/>
      <c r="E22" s="122"/>
      <c r="F22" s="122"/>
      <c r="G22" s="129"/>
      <c r="H22" s="73"/>
      <c r="I22" s="76" t="s">
        <v>50</v>
      </c>
      <c r="J22" s="1"/>
      <c r="K22" s="195"/>
      <c r="L22" s="1">
        <f t="shared" si="0"/>
        <v>0</v>
      </c>
      <c r="M22" s="25">
        <f t="shared" si="1"/>
        <v>0</v>
      </c>
      <c r="N22" s="141"/>
      <c r="O22" s="3"/>
      <c r="P22" s="198"/>
      <c r="Q22" s="1">
        <f t="shared" si="2"/>
        <v>0</v>
      </c>
      <c r="R22" s="26">
        <f t="shared" si="3"/>
        <v>0</v>
      </c>
      <c r="S22" s="144"/>
      <c r="T22" s="189"/>
    </row>
    <row r="23" spans="1:20" s="27" customFormat="1" ht="21" x14ac:dyDescent="0.25">
      <c r="A23" s="119"/>
      <c r="B23" s="122"/>
      <c r="C23" s="122"/>
      <c r="D23" s="122"/>
      <c r="E23" s="122"/>
      <c r="F23" s="122"/>
      <c r="G23" s="129"/>
      <c r="H23" s="73"/>
      <c r="I23" s="76"/>
      <c r="J23" s="1"/>
      <c r="K23" s="195"/>
      <c r="L23" s="1"/>
      <c r="M23" s="25"/>
      <c r="N23" s="141"/>
      <c r="O23" s="3"/>
      <c r="P23" s="198"/>
      <c r="Q23" s="1"/>
      <c r="R23" s="26"/>
      <c r="S23" s="145"/>
      <c r="T23" s="189"/>
    </row>
    <row r="24" spans="1:20" s="30" customFormat="1" ht="21.75" thickBot="1" x14ac:dyDescent="0.3">
      <c r="A24" s="120"/>
      <c r="B24" s="123"/>
      <c r="C24" s="123"/>
      <c r="D24" s="123"/>
      <c r="E24" s="123"/>
      <c r="F24" s="123"/>
      <c r="G24" s="130"/>
      <c r="H24" s="74"/>
      <c r="I24" s="77" t="s">
        <v>46</v>
      </c>
      <c r="J24" s="2"/>
      <c r="K24" s="196"/>
      <c r="L24" s="2"/>
      <c r="M24" s="28">
        <f>SUM(M21:M23)</f>
        <v>0</v>
      </c>
      <c r="N24" s="142"/>
      <c r="O24" s="2"/>
      <c r="P24" s="196"/>
      <c r="Q24" s="2"/>
      <c r="R24" s="29">
        <f>SUM(R21:R23)</f>
        <v>0</v>
      </c>
      <c r="S24" s="146"/>
      <c r="T24" s="190"/>
    </row>
    <row r="25" spans="1:20" s="30" customFormat="1" ht="21" x14ac:dyDescent="0.25">
      <c r="A25" s="118"/>
      <c r="B25" s="137"/>
      <c r="C25" s="137"/>
      <c r="D25" s="121"/>
      <c r="E25" s="137"/>
      <c r="F25" s="121"/>
      <c r="G25" s="128">
        <f>(((H25+H26)/90)*365)/1000</f>
        <v>0</v>
      </c>
      <c r="H25" s="89"/>
      <c r="I25" s="84" t="s">
        <v>51</v>
      </c>
      <c r="J25" s="85"/>
      <c r="K25" s="194"/>
      <c r="L25" s="85">
        <f>J25*(1-K25)</f>
        <v>0</v>
      </c>
      <c r="M25" s="86">
        <f>L25*H25</f>
        <v>0</v>
      </c>
      <c r="N25" s="139"/>
      <c r="O25" s="85"/>
      <c r="P25" s="194"/>
      <c r="Q25" s="85">
        <f>O25*(1-P25)</f>
        <v>0</v>
      </c>
      <c r="R25" s="88">
        <f>Q25*H25</f>
        <v>0</v>
      </c>
      <c r="S25" s="143" t="e">
        <f>1-(R28/M28)</f>
        <v>#DIV/0!</v>
      </c>
      <c r="T25" s="31"/>
    </row>
    <row r="26" spans="1:20" s="30" customFormat="1" ht="21" x14ac:dyDescent="0.25">
      <c r="A26" s="135"/>
      <c r="B26" s="138"/>
      <c r="C26" s="138"/>
      <c r="D26" s="122"/>
      <c r="E26" s="138"/>
      <c r="F26" s="122"/>
      <c r="G26" s="129"/>
      <c r="H26" s="75"/>
      <c r="I26" s="76" t="s">
        <v>52</v>
      </c>
      <c r="J26" s="1"/>
      <c r="K26" s="195"/>
      <c r="L26" s="1">
        <f t="shared" ref="L26" si="4">J26*(1-K26)</f>
        <v>0</v>
      </c>
      <c r="M26" s="25">
        <f t="shared" ref="M26" si="5">L26*H26</f>
        <v>0</v>
      </c>
      <c r="N26" s="140"/>
      <c r="O26" s="1"/>
      <c r="P26" s="195"/>
      <c r="Q26" s="1">
        <f t="shared" ref="Q26" si="6">O26*(1-P26)</f>
        <v>0</v>
      </c>
      <c r="R26" s="26">
        <f t="shared" ref="R26" si="7">Q26*H26</f>
        <v>0</v>
      </c>
      <c r="S26" s="144"/>
      <c r="T26" s="31"/>
    </row>
    <row r="27" spans="1:20" s="30" customFormat="1" ht="21" x14ac:dyDescent="0.25">
      <c r="A27" s="135"/>
      <c r="B27" s="122"/>
      <c r="C27" s="122"/>
      <c r="D27" s="122"/>
      <c r="E27" s="122"/>
      <c r="F27" s="122"/>
      <c r="G27" s="129"/>
      <c r="H27" s="73"/>
      <c r="I27" s="76"/>
      <c r="J27" s="3"/>
      <c r="K27" s="198"/>
      <c r="L27" s="3"/>
      <c r="M27" s="32"/>
      <c r="N27" s="141"/>
      <c r="O27" s="3"/>
      <c r="P27" s="198"/>
      <c r="Q27" s="3"/>
      <c r="R27" s="33"/>
      <c r="S27" s="145"/>
      <c r="T27" s="31"/>
    </row>
    <row r="28" spans="1:20" s="30" customFormat="1" ht="21.75" thickBot="1" x14ac:dyDescent="0.3">
      <c r="A28" s="136"/>
      <c r="B28" s="123"/>
      <c r="C28" s="123"/>
      <c r="D28" s="123"/>
      <c r="E28" s="123"/>
      <c r="F28" s="123"/>
      <c r="G28" s="130"/>
      <c r="H28" s="74"/>
      <c r="I28" s="77" t="s">
        <v>46</v>
      </c>
      <c r="J28" s="2"/>
      <c r="K28" s="196"/>
      <c r="L28" s="2"/>
      <c r="M28" s="28">
        <f>SUM(M25:M27)</f>
        <v>0</v>
      </c>
      <c r="N28" s="142"/>
      <c r="O28" s="2"/>
      <c r="P28" s="196"/>
      <c r="Q28" s="2"/>
      <c r="R28" s="29">
        <f>SUM(R25:R27)</f>
        <v>0</v>
      </c>
      <c r="S28" s="146"/>
      <c r="T28" s="31"/>
    </row>
    <row r="29" spans="1:20" s="30" customFormat="1" ht="21" x14ac:dyDescent="0.25">
      <c r="A29" s="151"/>
      <c r="B29" s="137"/>
      <c r="C29" s="137"/>
      <c r="D29" s="121"/>
      <c r="E29" s="137"/>
      <c r="F29" s="121"/>
      <c r="G29" s="128">
        <f>(((H29+H30)/47)*365)/1000</f>
        <v>0</v>
      </c>
      <c r="H29" s="89"/>
      <c r="I29" s="84" t="s">
        <v>53</v>
      </c>
      <c r="J29" s="85"/>
      <c r="K29" s="194"/>
      <c r="L29" s="85">
        <f>J29*(1-K29)</f>
        <v>0</v>
      </c>
      <c r="M29" s="86">
        <f>L29*H29</f>
        <v>0</v>
      </c>
      <c r="N29" s="139"/>
      <c r="O29" s="85"/>
      <c r="P29" s="194"/>
      <c r="Q29" s="85">
        <f>O29*(1-P29)</f>
        <v>0</v>
      </c>
      <c r="R29" s="88">
        <f>Q29*H29</f>
        <v>0</v>
      </c>
      <c r="S29" s="143" t="e">
        <f>1-(R32/M32)</f>
        <v>#DIV/0!</v>
      </c>
      <c r="T29" s="31"/>
    </row>
    <row r="30" spans="1:20" s="30" customFormat="1" ht="21" x14ac:dyDescent="0.25">
      <c r="A30" s="152"/>
      <c r="B30" s="138"/>
      <c r="C30" s="138"/>
      <c r="D30" s="122"/>
      <c r="E30" s="138"/>
      <c r="F30" s="122"/>
      <c r="G30" s="129"/>
      <c r="H30" s="75"/>
      <c r="I30" s="76" t="s">
        <v>50</v>
      </c>
      <c r="J30" s="1"/>
      <c r="K30" s="195"/>
      <c r="L30" s="1">
        <f t="shared" ref="L30" si="8">J30*(1-K30)</f>
        <v>0</v>
      </c>
      <c r="M30" s="25">
        <f t="shared" ref="M30" si="9">L30*H30</f>
        <v>0</v>
      </c>
      <c r="N30" s="140"/>
      <c r="O30" s="1"/>
      <c r="P30" s="195"/>
      <c r="Q30" s="1">
        <f t="shared" ref="Q30" si="10">O30*(1-P30)</f>
        <v>0</v>
      </c>
      <c r="R30" s="26">
        <f t="shared" ref="R30" si="11">Q30*H30</f>
        <v>0</v>
      </c>
      <c r="S30" s="144"/>
      <c r="T30" s="31"/>
    </row>
    <row r="31" spans="1:20" s="30" customFormat="1" ht="21" x14ac:dyDescent="0.25">
      <c r="A31" s="119"/>
      <c r="B31" s="122"/>
      <c r="C31" s="122"/>
      <c r="D31" s="122"/>
      <c r="E31" s="122"/>
      <c r="F31" s="122"/>
      <c r="G31" s="129"/>
      <c r="H31" s="73"/>
      <c r="I31" s="76"/>
      <c r="J31" s="3"/>
      <c r="K31" s="198"/>
      <c r="L31" s="3"/>
      <c r="M31" s="32"/>
      <c r="N31" s="141"/>
      <c r="O31" s="3"/>
      <c r="P31" s="198"/>
      <c r="Q31" s="3"/>
      <c r="R31" s="33"/>
      <c r="S31" s="145"/>
      <c r="T31" s="31"/>
    </row>
    <row r="32" spans="1:20" s="30" customFormat="1" ht="21.75" thickBot="1" x14ac:dyDescent="0.3">
      <c r="A32" s="120"/>
      <c r="B32" s="123"/>
      <c r="C32" s="123"/>
      <c r="D32" s="123"/>
      <c r="E32" s="123"/>
      <c r="F32" s="123"/>
      <c r="G32" s="130"/>
      <c r="H32" s="74"/>
      <c r="I32" s="77" t="s">
        <v>46</v>
      </c>
      <c r="J32" s="2"/>
      <c r="K32" s="196"/>
      <c r="L32" s="2"/>
      <c r="M32" s="28">
        <f>SUM(M29:M31)</f>
        <v>0</v>
      </c>
      <c r="N32" s="142"/>
      <c r="O32" s="2"/>
      <c r="P32" s="196"/>
      <c r="Q32" s="2"/>
      <c r="R32" s="29">
        <f>SUM(R29:R31)</f>
        <v>0</v>
      </c>
      <c r="S32" s="146"/>
      <c r="T32" s="31"/>
    </row>
    <row r="33" spans="1:20" s="37" customFormat="1" ht="15" customHeight="1" x14ac:dyDescent="0.25">
      <c r="A33" s="90"/>
      <c r="B33" s="91"/>
      <c r="C33" s="91"/>
      <c r="D33" s="91"/>
      <c r="E33" s="91"/>
      <c r="F33" s="91"/>
      <c r="G33" s="92"/>
      <c r="H33" s="93"/>
      <c r="I33" s="94"/>
      <c r="J33" s="95"/>
      <c r="K33" s="94"/>
      <c r="L33" s="95"/>
      <c r="M33" s="96"/>
      <c r="N33" s="97"/>
      <c r="O33" s="95"/>
      <c r="P33" s="94"/>
      <c r="Q33" s="95"/>
      <c r="R33" s="96"/>
      <c r="S33" s="98"/>
      <c r="T33" s="40"/>
    </row>
    <row r="34" spans="1:20" s="37" customFormat="1" ht="15" customHeight="1" x14ac:dyDescent="0.25">
      <c r="A34" s="99"/>
      <c r="B34" s="99"/>
      <c r="C34" s="99"/>
      <c r="D34" s="99"/>
      <c r="E34" s="99"/>
      <c r="F34" s="99"/>
      <c r="G34" s="100" t="s">
        <v>43</v>
      </c>
      <c r="H34" s="101"/>
      <c r="I34" s="101"/>
      <c r="J34" s="102"/>
      <c r="K34" s="101"/>
      <c r="L34" s="102"/>
      <c r="M34" s="103"/>
      <c r="N34" s="101"/>
      <c r="O34" s="102"/>
      <c r="P34" s="101"/>
      <c r="Q34" s="102"/>
      <c r="R34" s="103"/>
      <c r="S34" s="104"/>
      <c r="T34" s="40"/>
    </row>
    <row r="35" spans="1:20" s="37" customFormat="1" ht="15" customHeight="1" x14ac:dyDescent="0.25">
      <c r="A35" s="34"/>
      <c r="B35" s="34"/>
      <c r="C35" s="34"/>
      <c r="D35" s="34"/>
      <c r="E35" s="34"/>
      <c r="F35" s="34"/>
      <c r="G35" s="35"/>
      <c r="H35" s="36"/>
      <c r="J35" s="38"/>
      <c r="L35" s="38"/>
      <c r="M35" s="39"/>
      <c r="N35" s="40"/>
      <c r="O35" s="38"/>
      <c r="Q35" s="38"/>
      <c r="R35" s="39"/>
      <c r="S35" s="41"/>
      <c r="T35" s="40"/>
    </row>
    <row r="36" spans="1:20" s="37" customFormat="1" ht="15" customHeight="1" thickBot="1" x14ac:dyDescent="0.3">
      <c r="A36" s="34"/>
      <c r="B36" s="34"/>
      <c r="C36" s="34"/>
      <c r="D36" s="34"/>
      <c r="E36" s="34"/>
      <c r="F36" s="34"/>
      <c r="G36" s="35"/>
      <c r="H36" s="36"/>
      <c r="J36" s="38"/>
      <c r="L36" s="38"/>
      <c r="M36" s="39"/>
      <c r="N36" s="40"/>
      <c r="O36" s="38"/>
      <c r="Q36" s="38"/>
      <c r="R36" s="39"/>
      <c r="S36" s="41"/>
      <c r="T36" s="40"/>
    </row>
    <row r="37" spans="1:20" s="37" customFormat="1" ht="23.25" x14ac:dyDescent="0.25">
      <c r="A37" s="175" t="s">
        <v>48</v>
      </c>
      <c r="B37" s="176"/>
      <c r="C37" s="176"/>
      <c r="D37" s="177"/>
      <c r="E37" s="34"/>
      <c r="J37" s="42"/>
      <c r="K37" s="43"/>
      <c r="L37" s="168">
        <f>((((M32)/47)+((M28)/84)+((M24)/30))*365)</f>
        <v>0</v>
      </c>
      <c r="M37" s="169"/>
      <c r="N37" s="44"/>
      <c r="O37" s="45"/>
      <c r="P37" s="46"/>
      <c r="Q37" s="168">
        <f>((((R32)/47)+((R28)/84)+((R24)/30))*365)</f>
        <v>0</v>
      </c>
      <c r="R37" s="169"/>
      <c r="S37" s="41"/>
      <c r="T37" s="40"/>
    </row>
    <row r="38" spans="1:20" s="37" customFormat="1" ht="15" customHeight="1" x14ac:dyDescent="0.25">
      <c r="A38" s="178"/>
      <c r="B38" s="179"/>
      <c r="C38" s="179"/>
      <c r="D38" s="180"/>
      <c r="E38" s="34"/>
      <c r="J38" s="42"/>
      <c r="K38" s="43"/>
      <c r="L38" s="170"/>
      <c r="M38" s="171"/>
      <c r="N38" s="44"/>
      <c r="O38" s="45"/>
      <c r="P38" s="46"/>
      <c r="Q38" s="170"/>
      <c r="R38" s="171"/>
      <c r="S38" s="150"/>
      <c r="T38" s="40"/>
    </row>
    <row r="39" spans="1:20" s="37" customFormat="1" ht="15" customHeight="1" thickBot="1" x14ac:dyDescent="0.3">
      <c r="A39" s="181"/>
      <c r="B39" s="182"/>
      <c r="C39" s="182"/>
      <c r="D39" s="183"/>
      <c r="E39" s="34"/>
      <c r="J39" s="42"/>
      <c r="K39" s="43"/>
      <c r="L39" s="172"/>
      <c r="M39" s="173"/>
      <c r="N39" s="44"/>
      <c r="O39" s="45"/>
      <c r="P39" s="46"/>
      <c r="Q39" s="172"/>
      <c r="R39" s="173"/>
      <c r="S39" s="150"/>
      <c r="T39" s="40"/>
    </row>
    <row r="40" spans="1:20" s="37" customFormat="1" ht="15" customHeight="1" x14ac:dyDescent="0.25">
      <c r="A40" s="34"/>
      <c r="B40" s="34"/>
      <c r="C40" s="34"/>
      <c r="D40" s="34"/>
      <c r="E40" s="34"/>
      <c r="F40" s="47"/>
      <c r="G40" s="48"/>
      <c r="H40" s="49"/>
      <c r="I40" s="43"/>
      <c r="J40" s="42"/>
      <c r="K40" s="43"/>
      <c r="L40" s="50"/>
      <c r="M40" s="50"/>
      <c r="N40" s="44"/>
      <c r="O40" s="45"/>
      <c r="P40" s="46"/>
      <c r="Q40" s="51"/>
      <c r="R40" s="52"/>
      <c r="S40" s="150"/>
      <c r="T40" s="40"/>
    </row>
    <row r="41" spans="1:20" s="37" customFormat="1" ht="15" customHeight="1" x14ac:dyDescent="0.25">
      <c r="A41" s="34"/>
      <c r="B41" s="34"/>
      <c r="C41" s="34"/>
      <c r="D41" s="34"/>
      <c r="E41" s="34"/>
      <c r="F41" s="47"/>
      <c r="G41" s="48"/>
      <c r="H41" s="49"/>
      <c r="I41" s="43"/>
      <c r="J41" s="42"/>
      <c r="K41" s="43"/>
      <c r="L41" s="50"/>
      <c r="M41" s="50"/>
      <c r="N41" s="44"/>
      <c r="O41" s="45"/>
      <c r="P41" s="46"/>
      <c r="Q41" s="51"/>
      <c r="R41" s="52"/>
      <c r="S41" s="150"/>
      <c r="T41" s="40"/>
    </row>
    <row r="42" spans="1:20" s="37" customFormat="1" ht="15" customHeight="1" thickBot="1" x14ac:dyDescent="0.3">
      <c r="A42" s="34"/>
      <c r="B42" s="34"/>
      <c r="C42" s="34"/>
      <c r="D42" s="34"/>
      <c r="E42" s="34"/>
      <c r="F42" s="47"/>
      <c r="G42" s="48"/>
      <c r="H42" s="49"/>
      <c r="I42" s="43"/>
      <c r="J42" s="42"/>
      <c r="K42" s="43"/>
      <c r="L42" s="50"/>
      <c r="M42" s="50"/>
      <c r="N42" s="44"/>
      <c r="O42" s="45"/>
      <c r="P42" s="46"/>
      <c r="Q42" s="51"/>
      <c r="R42" s="52"/>
      <c r="S42" s="150"/>
      <c r="T42" s="40"/>
    </row>
    <row r="43" spans="1:20" s="37" customFormat="1" ht="23.25" x14ac:dyDescent="0.25">
      <c r="A43" s="175" t="s">
        <v>47</v>
      </c>
      <c r="B43" s="176"/>
      <c r="C43" s="176"/>
      <c r="D43" s="177"/>
      <c r="E43" s="34"/>
      <c r="J43" s="42"/>
      <c r="K43" s="43"/>
      <c r="L43" s="162" t="e">
        <f>1-(Q37/L37)</f>
        <v>#DIV/0!</v>
      </c>
      <c r="M43" s="163"/>
      <c r="N43" s="44"/>
      <c r="O43" s="45"/>
      <c r="P43" s="174"/>
      <c r="Q43" s="168">
        <f>L37-Q37</f>
        <v>0</v>
      </c>
      <c r="R43" s="169"/>
      <c r="S43" s="150"/>
      <c r="T43" s="40"/>
    </row>
    <row r="44" spans="1:20" s="37" customFormat="1" ht="15" customHeight="1" x14ac:dyDescent="0.25">
      <c r="A44" s="178"/>
      <c r="B44" s="179"/>
      <c r="C44" s="179"/>
      <c r="D44" s="180"/>
      <c r="E44" s="34"/>
      <c r="J44" s="42"/>
      <c r="K44" s="43"/>
      <c r="L44" s="164"/>
      <c r="M44" s="165"/>
      <c r="N44" s="44"/>
      <c r="O44" s="45"/>
      <c r="P44" s="174"/>
      <c r="Q44" s="170"/>
      <c r="R44" s="171"/>
      <c r="S44" s="150"/>
      <c r="T44" s="40"/>
    </row>
    <row r="45" spans="1:20" s="37" customFormat="1" ht="15" customHeight="1" thickBot="1" x14ac:dyDescent="0.3">
      <c r="A45" s="181"/>
      <c r="B45" s="182"/>
      <c r="C45" s="182"/>
      <c r="D45" s="183"/>
      <c r="E45" s="34"/>
      <c r="J45" s="42"/>
      <c r="K45" s="43"/>
      <c r="L45" s="166"/>
      <c r="M45" s="167"/>
      <c r="N45" s="44"/>
      <c r="O45" s="45"/>
      <c r="P45" s="174"/>
      <c r="Q45" s="172"/>
      <c r="R45" s="173"/>
      <c r="S45" s="150"/>
      <c r="T45" s="40"/>
    </row>
    <row r="46" spans="1:20" s="37" customFormat="1" ht="15" customHeight="1" x14ac:dyDescent="0.25">
      <c r="A46" s="34"/>
      <c r="B46" s="34"/>
      <c r="C46" s="34"/>
      <c r="D46" s="34"/>
      <c r="E46" s="34"/>
      <c r="F46" s="34"/>
      <c r="G46" s="35"/>
      <c r="H46" s="36"/>
      <c r="J46" s="38"/>
      <c r="L46" s="38"/>
      <c r="M46" s="39"/>
      <c r="N46" s="40"/>
      <c r="O46" s="38"/>
      <c r="Q46" s="38"/>
      <c r="R46" s="39"/>
      <c r="S46" s="41"/>
      <c r="T46" s="40"/>
    </row>
    <row r="47" spans="1:20" s="37" customFormat="1" ht="15" customHeight="1" x14ac:dyDescent="0.25">
      <c r="A47" s="34"/>
      <c r="B47" s="34"/>
      <c r="C47" s="34"/>
      <c r="D47" s="34"/>
      <c r="E47" s="34"/>
      <c r="F47" s="34"/>
      <c r="G47" s="35"/>
      <c r="H47" s="36"/>
      <c r="J47" s="38"/>
      <c r="L47" s="38"/>
      <c r="M47" s="39"/>
      <c r="N47" s="40"/>
      <c r="O47" s="38"/>
      <c r="Q47" s="38"/>
      <c r="R47" s="39"/>
      <c r="S47" s="41"/>
      <c r="T47" s="40"/>
    </row>
    <row r="48" spans="1:20" s="37" customFormat="1" ht="15" customHeight="1" thickBot="1" x14ac:dyDescent="0.3">
      <c r="A48" s="34"/>
      <c r="B48" s="34"/>
      <c r="C48" s="34"/>
      <c r="D48" s="34"/>
      <c r="E48" s="34"/>
      <c r="F48" s="34"/>
      <c r="G48" s="35"/>
      <c r="H48" s="36"/>
      <c r="J48" s="38"/>
      <c r="L48" s="38"/>
      <c r="M48" s="39"/>
      <c r="N48" s="40"/>
      <c r="O48" s="38"/>
      <c r="Q48" s="38"/>
      <c r="R48" s="39"/>
      <c r="S48" s="41"/>
      <c r="T48" s="40"/>
    </row>
    <row r="49" spans="1:20" s="37" customFormat="1" ht="15" customHeight="1" x14ac:dyDescent="0.25">
      <c r="A49" s="34"/>
      <c r="B49" s="34"/>
      <c r="C49" s="153" t="s">
        <v>55</v>
      </c>
      <c r="D49" s="154"/>
      <c r="E49" s="154"/>
      <c r="F49" s="154"/>
      <c r="G49" s="154"/>
      <c r="H49" s="154"/>
      <c r="I49" s="154"/>
      <c r="J49" s="154"/>
      <c r="K49" s="154"/>
      <c r="L49" s="154"/>
      <c r="M49" s="154"/>
      <c r="N49" s="154"/>
      <c r="O49" s="154"/>
      <c r="P49" s="154"/>
      <c r="Q49" s="155"/>
      <c r="R49" s="39"/>
      <c r="S49" s="41"/>
      <c r="T49" s="40"/>
    </row>
    <row r="50" spans="1:20" s="37" customFormat="1" ht="15" customHeight="1" x14ac:dyDescent="0.25">
      <c r="A50" s="34"/>
      <c r="B50" s="34"/>
      <c r="C50" s="156"/>
      <c r="D50" s="157"/>
      <c r="E50" s="157"/>
      <c r="F50" s="157"/>
      <c r="G50" s="157"/>
      <c r="H50" s="157"/>
      <c r="I50" s="157"/>
      <c r="J50" s="157"/>
      <c r="K50" s="157"/>
      <c r="L50" s="157"/>
      <c r="M50" s="157"/>
      <c r="N50" s="157"/>
      <c r="O50" s="157"/>
      <c r="P50" s="157"/>
      <c r="Q50" s="158"/>
      <c r="R50" s="39"/>
      <c r="S50" s="41"/>
      <c r="T50" s="40"/>
    </row>
    <row r="51" spans="1:20" s="37" customFormat="1" ht="15" customHeight="1" x14ac:dyDescent="0.25">
      <c r="A51" s="34"/>
      <c r="B51" s="34"/>
      <c r="C51" s="156"/>
      <c r="D51" s="157"/>
      <c r="E51" s="157"/>
      <c r="F51" s="157"/>
      <c r="G51" s="157"/>
      <c r="H51" s="157"/>
      <c r="I51" s="157"/>
      <c r="J51" s="157"/>
      <c r="K51" s="157"/>
      <c r="L51" s="157"/>
      <c r="M51" s="157"/>
      <c r="N51" s="157"/>
      <c r="O51" s="157"/>
      <c r="P51" s="157"/>
      <c r="Q51" s="158"/>
      <c r="R51" s="39"/>
      <c r="S51" s="41"/>
      <c r="T51" s="40"/>
    </row>
    <row r="52" spans="1:20" s="37" customFormat="1" ht="15" customHeight="1" x14ac:dyDescent="0.25">
      <c r="A52" s="34"/>
      <c r="B52" s="34"/>
      <c r="C52" s="156"/>
      <c r="D52" s="157"/>
      <c r="E52" s="157"/>
      <c r="F52" s="157"/>
      <c r="G52" s="157"/>
      <c r="H52" s="157"/>
      <c r="I52" s="157"/>
      <c r="J52" s="157"/>
      <c r="K52" s="157"/>
      <c r="L52" s="157"/>
      <c r="M52" s="157"/>
      <c r="N52" s="157"/>
      <c r="O52" s="157"/>
      <c r="P52" s="157"/>
      <c r="Q52" s="158"/>
      <c r="R52" s="39"/>
      <c r="S52" s="41"/>
      <c r="T52" s="40"/>
    </row>
    <row r="53" spans="1:20" s="37" customFormat="1" ht="15" customHeight="1" x14ac:dyDescent="0.25">
      <c r="A53" s="34"/>
      <c r="B53" s="34"/>
      <c r="C53" s="156"/>
      <c r="D53" s="157"/>
      <c r="E53" s="157"/>
      <c r="F53" s="157"/>
      <c r="G53" s="157"/>
      <c r="H53" s="157"/>
      <c r="I53" s="157"/>
      <c r="J53" s="157"/>
      <c r="K53" s="157"/>
      <c r="L53" s="157"/>
      <c r="M53" s="157"/>
      <c r="N53" s="157"/>
      <c r="O53" s="157"/>
      <c r="P53" s="157"/>
      <c r="Q53" s="158"/>
      <c r="R53" s="39"/>
      <c r="S53" s="41"/>
      <c r="T53" s="40"/>
    </row>
    <row r="54" spans="1:20" s="37" customFormat="1" ht="15" customHeight="1" x14ac:dyDescent="0.25">
      <c r="A54" s="34"/>
      <c r="B54" s="34"/>
      <c r="C54" s="156"/>
      <c r="D54" s="157"/>
      <c r="E54" s="157"/>
      <c r="F54" s="157"/>
      <c r="G54" s="157"/>
      <c r="H54" s="157"/>
      <c r="I54" s="157"/>
      <c r="J54" s="157"/>
      <c r="K54" s="157"/>
      <c r="L54" s="157"/>
      <c r="M54" s="157"/>
      <c r="N54" s="157"/>
      <c r="O54" s="157"/>
      <c r="P54" s="157"/>
      <c r="Q54" s="158"/>
      <c r="R54" s="39"/>
      <c r="S54" s="41"/>
      <c r="T54" s="40"/>
    </row>
    <row r="55" spans="1:20" s="37" customFormat="1" ht="15" customHeight="1" x14ac:dyDescent="0.25">
      <c r="A55" s="34"/>
      <c r="B55" s="34"/>
      <c r="C55" s="156"/>
      <c r="D55" s="157"/>
      <c r="E55" s="157"/>
      <c r="F55" s="157"/>
      <c r="G55" s="157"/>
      <c r="H55" s="157"/>
      <c r="I55" s="157"/>
      <c r="J55" s="157"/>
      <c r="K55" s="157"/>
      <c r="L55" s="157"/>
      <c r="M55" s="157"/>
      <c r="N55" s="157"/>
      <c r="O55" s="157"/>
      <c r="P55" s="157"/>
      <c r="Q55" s="158"/>
      <c r="R55" s="39"/>
      <c r="S55" s="41"/>
      <c r="T55" s="40"/>
    </row>
    <row r="56" spans="1:20" s="37" customFormat="1" ht="15" customHeight="1" thickBot="1" x14ac:dyDescent="0.3">
      <c r="A56" s="34"/>
      <c r="B56" s="34"/>
      <c r="C56" s="159"/>
      <c r="D56" s="160"/>
      <c r="E56" s="160"/>
      <c r="F56" s="160"/>
      <c r="G56" s="160"/>
      <c r="H56" s="160"/>
      <c r="I56" s="160"/>
      <c r="J56" s="160"/>
      <c r="K56" s="160"/>
      <c r="L56" s="160"/>
      <c r="M56" s="160"/>
      <c r="N56" s="160"/>
      <c r="O56" s="160"/>
      <c r="P56" s="160"/>
      <c r="Q56" s="161"/>
      <c r="R56" s="39"/>
      <c r="S56" s="41"/>
      <c r="T56" s="40"/>
    </row>
    <row r="57" spans="1:20" s="37" customFormat="1" ht="15" customHeight="1" x14ac:dyDescent="0.25">
      <c r="A57" s="34"/>
      <c r="B57" s="34"/>
      <c r="C57" s="34"/>
      <c r="D57" s="34"/>
      <c r="E57" s="34"/>
      <c r="F57" s="34"/>
      <c r="G57" s="35"/>
      <c r="H57" s="36"/>
      <c r="J57" s="38"/>
      <c r="L57" s="38"/>
      <c r="M57" s="39"/>
      <c r="N57" s="40"/>
      <c r="O57" s="38"/>
      <c r="Q57" s="38"/>
      <c r="R57" s="39"/>
      <c r="S57" s="41"/>
      <c r="T57" s="40"/>
    </row>
    <row r="61" spans="1:20" s="11" customFormat="1" ht="18.75" x14ac:dyDescent="0.3">
      <c r="A61" s="53" t="s">
        <v>10</v>
      </c>
      <c r="B61" s="13"/>
      <c r="C61" s="13"/>
      <c r="D61" s="13"/>
      <c r="E61" s="13"/>
      <c r="F61" s="13"/>
      <c r="G61" s="54"/>
      <c r="H61" s="55"/>
      <c r="I61" s="13"/>
      <c r="J61" s="54" t="s">
        <v>11</v>
      </c>
      <c r="K61" s="13"/>
      <c r="L61" s="13"/>
      <c r="M61" s="13"/>
      <c r="N61" s="56"/>
      <c r="O61" s="56"/>
    </row>
    <row r="62" spans="1:20" s="59" customFormat="1" ht="18.75" x14ac:dyDescent="0.3">
      <c r="A62" s="57" t="s">
        <v>12</v>
      </c>
      <c r="B62" s="57"/>
      <c r="C62" s="57"/>
      <c r="D62" s="57"/>
      <c r="E62" s="57"/>
      <c r="F62" s="57"/>
      <c r="G62" s="57"/>
      <c r="H62" s="57"/>
      <c r="I62" s="57"/>
      <c r="J62" s="57" t="s">
        <v>36</v>
      </c>
      <c r="K62" s="57"/>
      <c r="L62" s="57"/>
      <c r="M62" s="57"/>
      <c r="N62" s="58"/>
      <c r="O62" s="58"/>
    </row>
    <row r="63" spans="1:20" s="59" customFormat="1" ht="18.75" x14ac:dyDescent="0.3">
      <c r="A63" s="57" t="s">
        <v>26</v>
      </c>
      <c r="B63" s="57"/>
      <c r="C63" s="57"/>
      <c r="D63" s="57"/>
      <c r="E63" s="57"/>
      <c r="F63" s="57"/>
      <c r="G63" s="57"/>
      <c r="H63" s="57"/>
      <c r="I63" s="57"/>
      <c r="J63" s="57" t="s">
        <v>13</v>
      </c>
      <c r="K63" s="57"/>
      <c r="L63" s="57"/>
      <c r="M63" s="57"/>
      <c r="N63" s="58"/>
      <c r="O63" s="58"/>
    </row>
    <row r="64" spans="1:20" s="59" customFormat="1" ht="18.75" x14ac:dyDescent="0.3">
      <c r="A64" s="57" t="s">
        <v>27</v>
      </c>
      <c r="B64" s="57"/>
      <c r="C64" s="57"/>
      <c r="D64" s="57"/>
      <c r="E64" s="57"/>
      <c r="F64" s="57"/>
      <c r="G64" s="57"/>
      <c r="H64" s="57"/>
      <c r="I64" s="57"/>
      <c r="J64" s="57" t="s">
        <v>37</v>
      </c>
      <c r="K64" s="57"/>
      <c r="L64" s="57"/>
      <c r="M64" s="57"/>
      <c r="N64" s="58"/>
      <c r="O64" s="58"/>
    </row>
    <row r="65" spans="1:21" s="59" customFormat="1" ht="18.75" x14ac:dyDescent="0.3">
      <c r="A65" s="57" t="s">
        <v>28</v>
      </c>
      <c r="B65" s="57"/>
      <c r="C65" s="57"/>
      <c r="D65" s="57"/>
      <c r="E65" s="57"/>
      <c r="F65" s="57"/>
      <c r="G65" s="57"/>
      <c r="H65" s="57"/>
      <c r="I65" s="57"/>
      <c r="J65" s="57" t="s">
        <v>14</v>
      </c>
      <c r="K65" s="57"/>
      <c r="L65" s="57"/>
      <c r="M65" s="57"/>
      <c r="N65" s="58"/>
      <c r="O65" s="58"/>
    </row>
    <row r="66" spans="1:21" s="59" customFormat="1" ht="18.75" x14ac:dyDescent="0.3">
      <c r="A66" s="57" t="s">
        <v>29</v>
      </c>
      <c r="B66" s="57"/>
      <c r="C66" s="57"/>
      <c r="D66" s="57"/>
      <c r="E66" s="57"/>
      <c r="F66" s="57"/>
      <c r="G66" s="60"/>
      <c r="H66" s="57"/>
      <c r="I66" s="57"/>
      <c r="J66" s="60" t="s">
        <v>38</v>
      </c>
      <c r="K66" s="57"/>
      <c r="L66" s="57"/>
      <c r="M66" s="60"/>
      <c r="N66" s="61"/>
      <c r="O66" s="61"/>
      <c r="P66" s="62"/>
      <c r="Q66" s="62"/>
      <c r="R66" s="62"/>
      <c r="S66" s="62"/>
      <c r="T66" s="62"/>
      <c r="U66" s="62"/>
    </row>
    <row r="67" spans="1:21" s="59" customFormat="1" ht="18.75" x14ac:dyDescent="0.3">
      <c r="A67" s="57" t="s">
        <v>39</v>
      </c>
      <c r="B67" s="57"/>
      <c r="C67" s="57"/>
      <c r="D67" s="57"/>
      <c r="E67" s="57"/>
      <c r="F67" s="57"/>
      <c r="G67" s="57"/>
      <c r="H67" s="57"/>
      <c r="I67" s="57"/>
      <c r="J67" s="57" t="s">
        <v>30</v>
      </c>
      <c r="K67" s="57"/>
      <c r="L67" s="57"/>
      <c r="M67" s="57"/>
      <c r="N67" s="58"/>
      <c r="O67" s="58"/>
    </row>
    <row r="68" spans="1:21" s="59" customFormat="1" ht="18.75" x14ac:dyDescent="0.3">
      <c r="A68" s="57" t="s">
        <v>31</v>
      </c>
      <c r="B68" s="57"/>
      <c r="C68" s="57"/>
      <c r="D68" s="57"/>
      <c r="E68" s="57"/>
      <c r="F68" s="57"/>
      <c r="G68" s="57"/>
      <c r="H68" s="57"/>
      <c r="I68" s="57"/>
      <c r="J68" s="57" t="s">
        <v>40</v>
      </c>
      <c r="K68" s="57"/>
      <c r="L68" s="57"/>
      <c r="M68" s="57"/>
      <c r="N68" s="58"/>
      <c r="O68" s="58"/>
    </row>
    <row r="69" spans="1:21" s="59" customFormat="1" ht="18.75" x14ac:dyDescent="0.3">
      <c r="A69" s="57"/>
      <c r="B69" s="57"/>
      <c r="C69" s="57"/>
      <c r="D69" s="57"/>
      <c r="E69" s="57"/>
      <c r="F69" s="57"/>
      <c r="G69" s="57"/>
      <c r="H69" s="57"/>
      <c r="I69" s="57"/>
      <c r="J69" s="57"/>
      <c r="K69" s="57"/>
      <c r="L69" s="57"/>
      <c r="M69" s="57"/>
      <c r="N69" s="58"/>
      <c r="O69" s="58"/>
    </row>
    <row r="70" spans="1:21" s="59" customFormat="1" ht="18.75" x14ac:dyDescent="0.3">
      <c r="A70" s="57"/>
      <c r="B70" s="57"/>
      <c r="C70" s="57"/>
      <c r="D70" s="57"/>
      <c r="E70" s="57"/>
      <c r="F70" s="57"/>
      <c r="G70" s="57"/>
      <c r="H70" s="57"/>
      <c r="I70" s="57"/>
      <c r="J70" s="57"/>
      <c r="K70" s="57"/>
      <c r="L70" s="57"/>
      <c r="M70" s="57"/>
      <c r="N70" s="58"/>
      <c r="O70" s="58"/>
    </row>
    <row r="71" spans="1:21" s="59" customFormat="1" ht="18.75" x14ac:dyDescent="0.3">
      <c r="A71" s="63" t="s">
        <v>41</v>
      </c>
      <c r="B71" s="57"/>
      <c r="C71" s="57"/>
      <c r="D71" s="57"/>
      <c r="E71" s="57"/>
      <c r="F71" s="57"/>
      <c r="G71" s="57"/>
      <c r="H71" s="57"/>
      <c r="I71" s="57"/>
      <c r="J71" s="57"/>
      <c r="K71" s="57"/>
      <c r="L71" s="57"/>
      <c r="M71" s="57"/>
      <c r="N71" s="58"/>
      <c r="O71" s="58"/>
    </row>
    <row r="72" spans="1:21" s="59" customFormat="1" ht="18.75" x14ac:dyDescent="0.3">
      <c r="A72" s="57" t="s">
        <v>35</v>
      </c>
      <c r="B72" s="57"/>
      <c r="C72" s="57"/>
      <c r="D72" s="57"/>
      <c r="E72" s="57"/>
      <c r="F72" s="57"/>
      <c r="G72" s="57"/>
      <c r="H72" s="57"/>
      <c r="I72" s="57"/>
      <c r="J72" s="57"/>
      <c r="K72" s="57"/>
      <c r="L72" s="57"/>
      <c r="M72" s="57"/>
      <c r="N72" s="58"/>
      <c r="O72" s="58"/>
    </row>
    <row r="73" spans="1:21" ht="18.75" x14ac:dyDescent="0.25">
      <c r="A73" s="64"/>
      <c r="B73" s="64"/>
      <c r="C73" s="65"/>
      <c r="D73" s="65"/>
      <c r="E73" s="65"/>
      <c r="F73" s="65"/>
      <c r="G73" s="65"/>
      <c r="H73" s="55"/>
      <c r="I73" s="66"/>
      <c r="J73" s="55"/>
      <c r="K73" s="65"/>
      <c r="L73" s="55"/>
      <c r="M73" s="55"/>
      <c r="N73" s="67"/>
      <c r="O73" s="68"/>
    </row>
    <row r="74" spans="1:21" ht="18.75" x14ac:dyDescent="0.25">
      <c r="A74" s="64"/>
      <c r="B74" s="64"/>
      <c r="C74" s="65"/>
      <c r="D74" s="65"/>
      <c r="E74" s="65"/>
      <c r="F74" s="65"/>
      <c r="G74" s="65"/>
      <c r="H74" s="55"/>
      <c r="I74" s="66"/>
      <c r="J74" s="55"/>
      <c r="K74" s="65"/>
      <c r="L74" s="55"/>
      <c r="M74" s="55"/>
      <c r="N74" s="67"/>
      <c r="O74" s="68"/>
    </row>
    <row r="75" spans="1:21" ht="15.75" x14ac:dyDescent="0.25">
      <c r="A75" s="69"/>
      <c r="B75" s="69"/>
      <c r="C75" s="70"/>
      <c r="D75" s="70"/>
      <c r="E75" s="70"/>
      <c r="F75" s="70"/>
      <c r="G75" s="70"/>
      <c r="H75" s="71"/>
      <c r="I75" s="68"/>
      <c r="J75" s="71"/>
      <c r="K75" s="70"/>
      <c r="L75" s="71"/>
      <c r="M75" s="71"/>
      <c r="N75" s="67"/>
      <c r="O75" s="68"/>
    </row>
  </sheetData>
  <sheetProtection insertRows="0" deleteRows="0"/>
  <mergeCells count="57">
    <mergeCell ref="T18:T19"/>
    <mergeCell ref="O18:R18"/>
    <mergeCell ref="O20:R20"/>
    <mergeCell ref="N18:N19"/>
    <mergeCell ref="D29:D32"/>
    <mergeCell ref="E29:E32"/>
    <mergeCell ref="F29:F32"/>
    <mergeCell ref="S29:S32"/>
    <mergeCell ref="G29:G32"/>
    <mergeCell ref="N29:N32"/>
    <mergeCell ref="T21:T24"/>
    <mergeCell ref="N21:N24"/>
    <mergeCell ref="S21:S24"/>
    <mergeCell ref="S18:S19"/>
    <mergeCell ref="D25:D28"/>
    <mergeCell ref="F25:F28"/>
    <mergeCell ref="S38:S45"/>
    <mergeCell ref="A29:A32"/>
    <mergeCell ref="B29:B32"/>
    <mergeCell ref="C29:C32"/>
    <mergeCell ref="C49:Q56"/>
    <mergeCell ref="L43:M45"/>
    <mergeCell ref="L37:M39"/>
    <mergeCell ref="P43:P45"/>
    <mergeCell ref="Q37:R39"/>
    <mergeCell ref="Q43:R45"/>
    <mergeCell ref="A37:D39"/>
    <mergeCell ref="A43:D45"/>
    <mergeCell ref="S25:S28"/>
    <mergeCell ref="D19:D20"/>
    <mergeCell ref="E19:E20"/>
    <mergeCell ref="E21:E24"/>
    <mergeCell ref="E25:E28"/>
    <mergeCell ref="G19:G20"/>
    <mergeCell ref="F19:F20"/>
    <mergeCell ref="G25:G28"/>
    <mergeCell ref="A25:A28"/>
    <mergeCell ref="B25:B28"/>
    <mergeCell ref="C25:C28"/>
    <mergeCell ref="B19:B20"/>
    <mergeCell ref="N25:N28"/>
    <mergeCell ref="Q2:R2"/>
    <mergeCell ref="H4:K6"/>
    <mergeCell ref="I19:I20"/>
    <mergeCell ref="H19:H20"/>
    <mergeCell ref="A21:A24"/>
    <mergeCell ref="B21:B24"/>
    <mergeCell ref="H10:K13"/>
    <mergeCell ref="J20:M20"/>
    <mergeCell ref="A19:A20"/>
    <mergeCell ref="C21:C24"/>
    <mergeCell ref="D21:D24"/>
    <mergeCell ref="F21:F24"/>
    <mergeCell ref="G21:G24"/>
    <mergeCell ref="A18:I18"/>
    <mergeCell ref="J18:M18"/>
    <mergeCell ref="C19:C20"/>
  </mergeCells>
  <phoneticPr fontId="2" type="noConversion"/>
  <dataValidations disablePrompts="1" count="1">
    <dataValidation type="custom" allowBlank="1" showInputMessage="1" showErrorMessage="1" sqref="Q21:Q32 L21:L32">
      <formula1>L21</formula1>
    </dataValidation>
  </dataValidations>
  <pageMargins left="0.27559055118110237" right="0.31496062992125984" top="0.39370078740157483" bottom="0.43307086614173229" header="0.31496062992125984" footer="0.31496062992125984"/>
  <pageSetup scale="42" fitToHeight="5" orientation="landscape" horizontalDpi="4294967292" verticalDpi="4294967292" r:id="rId1"/>
  <headerFooter>
    <oddFooter>Page &amp;P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Raw Quote</vt:lpstr>
      <vt:lpstr>'Raw Quote'!Print_Area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2023-03-07T21:41:54Z</cp:lastPrinted>
  <dcterms:created xsi:type="dcterms:W3CDTF">2017-07-12T06:53:33Z</dcterms:created>
  <dcterms:modified xsi:type="dcterms:W3CDTF">2026-07-04T15:37:38Z</dcterms:modified>
</cp:coreProperties>
</file>